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showInkAnnotation="0" autoCompressPictures="0" defaultThemeVersion="166925"/>
  <xr:revisionPtr revIDLastSave="0" documentId="8_{BBDABA3D-867E-4F86-84AA-543BF03E4E2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rithmetic" sheetId="1" r:id="rId1"/>
    <sheet name="CoreFunctions" sheetId="2" r:id="rId2"/>
    <sheet name="References" sheetId="3" r:id="rId3"/>
    <sheet name="Data" sheetId="4" r:id="rId4"/>
    <sheet name="매출 자료" sheetId="5" r:id="rId5"/>
    <sheet name="DateSerial" sheetId="6" r:id="rId6"/>
    <sheet name="ErrorValue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7" l="1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7" i="3" s="1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<sst xmlns="http://schemas.openxmlformats.org/spreadsheetml/2006/main" count="147" uniqueCount="127">
  <si>
    <t>입력1</t>
  </si>
  <si>
    <t>입력2</t>
  </si>
  <si>
    <t>수식</t>
  </si>
  <si>
    <t>검증 내용</t>
  </si>
  <si>
    <t>덧셈</t>
  </si>
  <si>
    <t>뺄셈</t>
  </si>
  <si>
    <t>곱셈</t>
  </si>
  <si>
    <t>나눗셈 결과 소수</t>
  </si>
  <si>
    <t>거듭제곱</t>
  </si>
  <si>
    <t>연산자 우선순위(곱셈 먼저)</t>
  </si>
  <si>
    <t>괄호 우선</t>
  </si>
  <si>
    <t>단항 음수가 거듭제곱보다 먼저</t>
  </si>
  <si>
    <t>부동소수 덧셈 오차</t>
  </si>
  <si>
    <t>나눗셈 후 곱셈 복원</t>
  </si>
  <si>
    <t>% 연산자</t>
  </si>
  <si>
    <t>합계</t>
  </si>
  <si>
    <t>문자열 연결(&amp;)과 숫자</t>
  </si>
  <si>
    <t>소수의 문자열 변환</t>
  </si>
  <si>
    <t>5</t>
  </si>
  <si>
    <t>숫자 모양 문자열의 자동 변환</t>
  </si>
  <si>
    <t>논리값 TRUE의 산술</t>
  </si>
  <si>
    <t>빈 셀은 0</t>
  </si>
  <si>
    <t>지수 표기 숫자 리터럴</t>
  </si>
  <si>
    <t>이름</t>
  </si>
  <si>
    <t>점수</t>
  </si>
  <si>
    <t>부서</t>
  </si>
  <si>
    <t>SUM: 빈 셀·문자 무시</t>
  </si>
  <si>
    <t>김민준</t>
  </si>
  <si>
    <t>영업</t>
  </si>
  <si>
    <t>AVERAGE: 숫자만 평균</t>
  </si>
  <si>
    <t>이서연</t>
  </si>
  <si>
    <t>개발</t>
  </si>
  <si>
    <t>MIN</t>
  </si>
  <si>
    <t>박도윤</t>
  </si>
  <si>
    <t>MAX</t>
  </si>
  <si>
    <t>최하은</t>
  </si>
  <si>
    <t>COUNT: 숫자 셀 개수</t>
  </si>
  <si>
    <t>정시우</t>
  </si>
  <si>
    <t>인사</t>
  </si>
  <si>
    <t>COUNTA: 비어 있지 않은 셀</t>
  </si>
  <si>
    <t>한지아</t>
  </si>
  <si>
    <t>결석</t>
  </si>
  <si>
    <t>IF 참</t>
  </si>
  <si>
    <t>IF 거짓</t>
  </si>
  <si>
    <t>AND</t>
  </si>
  <si>
    <t>OR 모두 거짓</t>
  </si>
  <si>
    <t>NOT</t>
  </si>
  <si>
    <t>ROUND: 이진 표현 경계값</t>
  </si>
  <si>
    <t>ROUND: 음수 .5는 0에서 멀어지는 쪽</t>
  </si>
  <si>
    <t>ROUNDUP</t>
  </si>
  <si>
    <t>ROUNDDOWN: 음수는 0 쪽으로</t>
  </si>
  <si>
    <t>ROUND: 음수 자릿수</t>
  </si>
  <si>
    <t>SUMIF: 문자 조건, 합계 범위의 문자 무시</t>
  </si>
  <si>
    <t>COUNTIF: 문자 조건</t>
  </si>
  <si>
    <t>COUNTIF: 비교 조건</t>
  </si>
  <si>
    <t>COUNTIF: 와일드카드 ?</t>
  </si>
  <si>
    <t>SUMIFS: 두 조건</t>
  </si>
  <si>
    <t>COUNTIFS: 두 조건</t>
  </si>
  <si>
    <t>IFERROR: 정상 값 통과</t>
  </si>
  <si>
    <t>IFERROR: 문자 나눗셈 오류 대체</t>
  </si>
  <si>
    <t>LEN: 한글 글자 수</t>
  </si>
  <si>
    <t>CONCATENATE</t>
  </si>
  <si>
    <t>CONCAT(Excel 2019+ 함수)</t>
  </si>
  <si>
    <t>SQRT</t>
  </si>
  <si>
    <t>할인율</t>
  </si>
  <si>
    <t>절대 참조 $G$1</t>
  </si>
  <si>
    <t>절대 참조(순서 바꿈)</t>
  </si>
  <si>
    <t>혼합 참조: 행 고정</t>
  </si>
  <si>
    <t>혼합 참조: 열 고정($G1)</t>
  </si>
  <si>
    <t>범위 참조</t>
  </si>
  <si>
    <t>절대 범위와 상대 범위 혼용</t>
  </si>
  <si>
    <t>다른 시트 단일 셀</t>
  </si>
  <si>
    <t>다른 시트 범위</t>
  </si>
  <si>
    <t>다른 시트 셀끼리 연산</t>
  </si>
  <si>
    <t>다른 시트 두 범위의 곱의 합</t>
  </si>
  <si>
    <t>공백·한글 시트 이름 따옴표 참조</t>
  </si>
  <si>
    <t>VLOOKUP 정확히 일치</t>
  </si>
  <si>
    <t>INDEX+MATCH</t>
  </si>
  <si>
    <t>MATCH 위치</t>
  </si>
  <si>
    <t>다른 시트 빈 셀은 0</t>
  </si>
  <si>
    <t>수식 셀을 참조하는 수식(연쇄 재계산)</t>
  </si>
  <si>
    <t>상품</t>
  </si>
  <si>
    <t>수량</t>
  </si>
  <si>
    <t>단가</t>
  </si>
  <si>
    <t>비고</t>
  </si>
  <si>
    <t>사과</t>
  </si>
  <si>
    <t>배</t>
  </si>
  <si>
    <t>할인</t>
  </si>
  <si>
    <t>귤</t>
  </si>
  <si>
    <t>포도</t>
  </si>
  <si>
    <t>감</t>
  </si>
  <si>
    <t>품절</t>
  </si>
  <si>
    <t>일련번호 기준 1900-01-01 = 1</t>
  </si>
  <si>
    <t>1900-02-28 = 59</t>
  </si>
  <si>
    <t>없는 날짜 1900-02-29(1900 윤년 버그)</t>
  </si>
  <si>
    <t>1900-03-01 = 61</t>
  </si>
  <si>
    <t>실제 윤년</t>
  </si>
  <si>
    <t>없는 날짜는 다음 달로 넘김</t>
  </si>
  <si>
    <t>13월은 다음 해 1월</t>
  </si>
  <si>
    <t>0일은 전달 말일</t>
  </si>
  <si>
    <t>일련번호 60의 연도</t>
  </si>
  <si>
    <t>일련번호 60의 월</t>
  </si>
  <si>
    <t>일련번호 60의 일</t>
  </si>
  <si>
    <t>일련번호 61의 일</t>
  </si>
  <si>
    <t>ISO 날짜 문자열 해석</t>
  </si>
  <si>
    <t>날짜 차(일수)</t>
  </si>
  <si>
    <t>DATEDIF 만 나이</t>
  </si>
  <si>
    <t>WEEKDAY 금요일</t>
  </si>
  <si>
    <t>WEEKDAY: 1900-01-01을 일요일로 봄</t>
  </si>
  <si>
    <t>일련번호 → 연월일</t>
  </si>
  <si>
    <t>#DIV/0! 상수</t>
  </si>
  <si>
    <t>#DIV/0! 셀 참조</t>
  </si>
  <si>
    <t>#VALUE! 문자 산술</t>
  </si>
  <si>
    <t>#NUM! 음수 제곱근</t>
  </si>
  <si>
    <t>#NUM! 범위 밖 날짜</t>
  </si>
  <si>
    <t>#NAME? 없는 함수</t>
  </si>
  <si>
    <t>#NAME? 함수 이름 오타</t>
  </si>
  <si>
    <t>#N/A VLOOKUP 못 찾음</t>
  </si>
  <si>
    <t>#N/A MATCH 못 찾음</t>
  </si>
  <si>
    <t>#REF! INDEX 범위 밖</t>
  </si>
  <si>
    <t>#REF! VLOOKUP 열 번호 초과</t>
  </si>
  <si>
    <t>#NULL! 겹치지 않는 범위 교집합(공백 연산자)</t>
  </si>
  <si>
    <t>오류 전파</t>
  </si>
  <si>
    <t>조건식 오류 전파</t>
  </si>
  <si>
    <t>IFERROR 오류 대체</t>
  </si>
  <si>
    <t>ISERROR</t>
  </si>
  <si>
    <t>#VALUE! 함수 인수 형식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</si>
</sst>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zoomScaleNormal="100" zoomScaleSheetLayoutView="100" workbookViewId="0"/>
  </sheetViews>
  <sheetFormatPr defaultRowHeight="13.5"/>
  <cols>
    <col min="3" max="3" width="40" customWidth="1"/>
    <col min="4" max="4" width="4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</v>
      </c>
      <c r="B2">
        <v>4</v>
      </c>
      <c r="C2">
        <f>A2+B2</f>
        <v>7</v>
      </c>
      <c r="D2" t="s">
        <v>4</v>
      </c>
    </row>
    <row r="3" spans="1:4">
      <c r="A3">
        <v>10</v>
      </c>
      <c r="B3">
        <v>4</v>
      </c>
      <c r="C3">
        <f>A3-B3</f>
        <v>6</v>
      </c>
      <c r="D3" t="s">
        <v>5</v>
      </c>
    </row>
    <row r="4" spans="1:4">
      <c r="A4">
        <v>6</v>
      </c>
      <c r="B4">
        <v>7</v>
      </c>
      <c r="C4">
        <f>A4*B4</f>
        <v>42</v>
      </c>
      <c r="D4" t="s">
        <v>6</v>
      </c>
    </row>
    <row r="5" spans="1:4">
      <c r="A5">
        <v>7</v>
      </c>
      <c r="B5">
        <v>2</v>
      </c>
      <c r="C5">
        <f>A5/B5</f>
        <v>3.5</v>
      </c>
      <c r="D5" t="s">
        <v>7</v>
      </c>
    </row>
    <row r="6" spans="1:4">
      <c r="A6">
        <v>2</v>
      </c>
      <c r="B6">
        <v>10</v>
      </c>
      <c r="C6">
        <f>A6^B6</f>
        <v>1024</v>
      </c>
      <c r="D6" t="s">
        <v>8</v>
      </c>
    </row>
    <row r="7" spans="1:4">
      <c r="A7">
        <v>2</v>
      </c>
      <c r="B7">
        <v>3</v>
      </c>
      <c r="C7">
        <f>A7+B7*4</f>
        <v>14</v>
      </c>
      <c r="D7" t="s">
        <v>9</v>
      </c>
    </row>
    <row r="8" spans="1:4">
      <c r="A8">
        <v>2</v>
      </c>
      <c r="B8">
        <v>3</v>
      </c>
      <c r="C8">
        <f>(A8+B8)*4</f>
        <v>20</v>
      </c>
      <c r="D8" t="s">
        <v>10</v>
      </c>
    </row>
    <row r="9" spans="1:4">
      <c r="A9">
        <v>3</v>
      </c>
      <c r="C9">
        <f>-A9^2</f>
        <v>9</v>
      </c>
      <c r="D9" t="s">
        <v>11</v>
      </c>
    </row>
    <row r="10" spans="1:4">
      <c r="A10">
        <v>0.1</v>
      </c>
      <c r="B10">
        <v>0.2</v>
      </c>
      <c r="C10">
        <f>A10+B10</f>
        <v>0.30000000000000004</v>
      </c>
      <c r="D10" t="s">
        <v>12</v>
      </c>
    </row>
    <row r="11" spans="1:4">
      <c r="A11">
        <v>1</v>
      </c>
      <c r="B11">
        <v>3</v>
      </c>
      <c r="C11">
        <f>A11/B11*B11</f>
        <v>1</v>
      </c>
      <c r="D11" t="s">
        <v>13</v>
      </c>
    </row>
    <row r="12" spans="1:4">
      <c r="A12">
        <v>50</v>
      </c>
      <c r="C12">
        <f>A12%</f>
        <v>0.5</v>
      </c>
      <c r="D12" t="s">
        <v>14</v>
      </c>
    </row>
    <row r="13" spans="1:4">
      <c r="A13" t="s">
        <v>15</v>
      </c>
      <c r="B13">
        <v>10</v>
      </c>
      <c r="C13" t="str">
        <f>A13&amp;B13</f>
        <v>합계10</v>
      </c>
      <c r="D13" t="s">
        <v>16</v>
      </c>
    </row>
    <row r="14" spans="1:4">
      <c r="A14">
        <v>1.5</v>
      </c>
      <c r="C14" t="str">
        <f>"값:"&amp;A14</f>
        <v>값:1.5</v>
      </c>
      <c r="D14" t="s">
        <v>17</v>
      </c>
    </row>
    <row r="15" spans="1:4">
      <c r="A15" t="s">
        <v>18</v>
      </c>
      <c r="B15">
        <v>2</v>
      </c>
      <c r="C15">
        <f>A15*B15</f>
        <v>10</v>
      </c>
      <c r="D15" t="s">
        <v>19</v>
      </c>
    </row>
    <row r="16" spans="1:4">
      <c r="A16" t="b">
        <v>1</v>
      </c>
      <c r="B16">
        <v>1</v>
      </c>
      <c r="C16">
        <f>A16+B16</f>
        <v>2</v>
      </c>
      <c r="D16" t="s">
        <v>20</v>
      </c>
    </row>
    <row r="17" spans="1:4">
      <c r="B17">
        <v>5</v>
      </c>
      <c r="C17">
        <f>A17+B17</f>
        <v>5</v>
      </c>
      <c r="D17" t="s">
        <v>21</v>
      </c>
    </row>
    <row r="18" spans="1:4">
      <c r="A18">
        <v>1</v>
      </c>
      <c r="C18">
        <f>A18*1000</f>
        <v>1000</v>
      </c>
      <c r="D18" t="s">
        <v>22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zoomScaleNormal="100" zoomScaleSheetLayoutView="100" workbookViewId="0"/>
  </sheetViews>
  <sheetFormatPr defaultRowHeight="13.5"/>
  <cols>
    <col min="3" max="3" width="40" customWidth="1"/>
    <col min="4" max="4" width="4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F1" t="s">
        <v>23</v>
      </c>
      <c r="G1" t="s">
        <v>24</v>
      </c>
      <c r="H1" t="s">
        <v>25</v>
      </c>
    </row>
    <row r="2" spans="1:8">
      <c r="C2">
        <f>SUM(G2:G7)</f>
        <v>319</v>
      </c>
      <c r="D2" t="s">
        <v>26</v>
      </c>
      <c r="F2" t="s">
        <v>27</v>
      </c>
      <c r="G2">
        <v>85</v>
      </c>
      <c r="H2" t="s">
        <v>28</v>
      </c>
    </row>
    <row r="3" spans="1:8">
      <c r="C3">
        <f>AVERAGE(G2:G7)</f>
        <v>79.75</v>
      </c>
      <c r="D3" t="s">
        <v>29</v>
      </c>
      <c r="F3" t="s">
        <v>30</v>
      </c>
      <c r="G3">
        <v>92</v>
      </c>
      <c r="H3" t="s">
        <v>31</v>
      </c>
    </row>
    <row r="4" spans="1:8">
      <c r="C4">
        <f>MIN(G2:G7)</f>
        <v>64</v>
      </c>
      <c r="D4" t="s">
        <v>32</v>
      </c>
      <c r="F4" t="s">
        <v>33</v>
      </c>
      <c r="G4">
        <v>78</v>
      </c>
      <c r="H4" t="s">
        <v>28</v>
      </c>
    </row>
    <row r="5" spans="1:8">
      <c r="C5">
        <f>MAX(G2:G7)</f>
        <v>92</v>
      </c>
      <c r="D5" t="s">
        <v>34</v>
      </c>
      <c r="F5" t="s">
        <v>35</v>
      </c>
      <c r="H5" t="s">
        <v>31</v>
      </c>
    </row>
    <row r="6" spans="1:8">
      <c r="C6">
        <f>COUNT(G2:G7)</f>
        <v>4</v>
      </c>
      <c r="D6" t="s">
        <v>36</v>
      </c>
      <c r="F6" t="s">
        <v>37</v>
      </c>
      <c r="G6">
        <v>64</v>
      </c>
      <c r="H6" t="s">
        <v>38</v>
      </c>
    </row>
    <row r="7" spans="1:8">
      <c r="C7">
        <f>COUNTA(G2:G7)</f>
        <v>5</v>
      </c>
      <c r="D7" t="s">
        <v>39</v>
      </c>
      <c r="F7" t="s">
        <v>40</v>
      </c>
      <c r="G7" t="s">
        <v>41</v>
      </c>
      <c r="H7" t="s">
        <v>28</v>
      </c>
    </row>
    <row r="8" spans="1:8">
      <c r="C8" t="str">
        <f>IF(G2&gt;=80,"합격","불합격")</f>
        <v>합격</v>
      </c>
      <c r="D8" t="s">
        <v>42</v>
      </c>
    </row>
    <row r="9" spans="1:8">
      <c r="C9" t="str">
        <f>IF(G6&gt;=80,"합격","불합격")</f>
        <v>불합격</v>
      </c>
      <c r="D9" t="s">
        <v>43</v>
      </c>
    </row>
    <row r="10" spans="1:8">
      <c r="C10" t="b">
        <f>AND(G2&gt;80,G3&gt;80)</f>
        <v>1</v>
      </c>
      <c r="D10" t="s">
        <v>44</v>
      </c>
    </row>
    <row r="11" spans="1:8">
      <c r="C11" t="b">
        <f>OR(G4&gt;80,G6&gt;80)</f>
        <v>0</v>
      </c>
      <c r="D11" t="s">
        <v>45</v>
      </c>
    </row>
    <row r="12" spans="1:8">
      <c r="C12" t="b">
        <f>NOT(G2&gt;80)</f>
        <v>0</v>
      </c>
      <c r="D12" t="s">
        <v>46</v>
      </c>
    </row>
    <row r="13" spans="1:8">
      <c r="A13">
        <v>2.3450000000000002</v>
      </c>
      <c r="C13">
        <f>ROUND(A13,2)</f>
        <v>2.35</v>
      </c>
      <c r="D13" t="s">
        <v>47</v>
      </c>
    </row>
    <row r="14" spans="1:8">
      <c r="A14">
        <v>-2.5</v>
      </c>
      <c r="C14">
        <f>ROUND(A14,0)</f>
        <v>-3</v>
      </c>
      <c r="D14" t="s">
        <v>48</v>
      </c>
    </row>
    <row r="15" spans="1:8">
      <c r="A15">
        <v>3.141</v>
      </c>
      <c r="C15">
        <f>ROUNDUP(A15,1)</f>
        <v>3.2</v>
      </c>
      <c r="D15" t="s">
        <v>49</v>
      </c>
    </row>
    <row r="16" spans="1:8">
      <c r="A16">
        <v>-3.7890000000000001</v>
      </c>
      <c r="C16">
        <f>ROUNDDOWN(A16,1)</f>
        <v>-3.7</v>
      </c>
      <c r="D16" t="s">
        <v>50</v>
      </c>
    </row>
    <row r="17" spans="1:4">
      <c r="A17">
        <v>1234.5</v>
      </c>
      <c r="C17">
        <f>ROUND(A17,-2)</f>
        <v>1200</v>
      </c>
      <c r="D17" t="s">
        <v>51</v>
      </c>
    </row>
    <row r="18" spans="1:4">
      <c r="C18">
        <f>SUMIF(H2:H7,"영업",G2:G7)</f>
        <v>163</v>
      </c>
      <c r="D18" t="s">
        <v>52</v>
      </c>
    </row>
    <row r="19" spans="1:4">
      <c r="C19">
        <f>COUNTIF(H2:H7,"영업")</f>
        <v>3</v>
      </c>
      <c r="D19" t="s">
        <v>53</v>
      </c>
    </row>
    <row r="20" spans="1:4">
      <c r="C20">
        <f>COUNTIF(G2:G7,"&gt;80")</f>
        <v>2</v>
      </c>
      <c r="D20" t="s">
        <v>54</v>
      </c>
    </row>
    <row r="21" spans="1:4">
      <c r="C21">
        <f>COUNTIF(H2:H7,"?발")</f>
        <v>2</v>
      </c>
      <c r="D21" t="s">
        <v>55</v>
      </c>
    </row>
    <row r="22" spans="1:4">
      <c r="C22">
        <f>SUMIFS(G2:G7,H2:H7,"영업",G2:G7,"&gt;70")</f>
        <v>163</v>
      </c>
      <c r="D22" t="s">
        <v>56</v>
      </c>
    </row>
    <row r="23" spans="1:4">
      <c r="C23">
        <f>COUNTIFS(H2:H7,"개발",G2:G7,"&gt;=90")</f>
        <v>1</v>
      </c>
      <c r="D23" t="s">
        <v>57</v>
      </c>
    </row>
    <row r="24" spans="1:4">
      <c r="C24">
        <f>IFERROR(G2/1,"오류")</f>
        <v>85</v>
      </c>
      <c r="D24" t="s">
        <v>58</v>
      </c>
    </row>
    <row r="25" spans="1:4">
      <c r="C25" t="str">
        <f>IFERROR(G7/1,"오류")</f>
        <v>오류</v>
      </c>
      <c r="D25" t="s">
        <v>59</v>
      </c>
    </row>
    <row r="26" spans="1:4">
      <c r="C26">
        <f>LEN(F2)</f>
        <v>3</v>
      </c>
      <c r="D26" t="s">
        <v>60</v>
      </c>
    </row>
    <row r="27" spans="1:4">
      <c r="C27" t="str">
        <f>CONCATENATE(F2,"-",H2)</f>
        <v>김민준-영업</v>
      </c>
      <c r="D27" t="s">
        <v>61</v>
      </c>
    </row>
    <row r="28" spans="1:4">
      <c r="C28" t="str">
        <f>_xlfn.CONCAT(F2,"-",H2)</f>
        <v>김민준-영업</v>
      </c>
      <c r="D28" t="s">
        <v>62</v>
      </c>
    </row>
    <row r="29" spans="1:4">
      <c r="C29">
        <f>SQRT(G3+8)</f>
        <v>10</v>
      </c>
      <c r="D29" t="s">
        <v>63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zoomScaleNormal="100" zoomScaleSheetLayoutView="100" workbookViewId="0"/>
  </sheetViews>
  <sheetFormatPr defaultRowHeight="13.5"/>
  <cols>
    <col min="3" max="3" width="40" customWidth="1"/>
    <col min="4" max="4" width="4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F1" t="s">
        <v>64</v>
      </c>
      <c r="G1">
        <v>0.1</v>
      </c>
    </row>
    <row r="2" spans="1:7">
      <c r="A2">
        <v>1000</v>
      </c>
      <c r="C2">
        <f>A2*(1-$G$1)</f>
        <v>900</v>
      </c>
      <c r="D2" t="s">
        <v>65</v>
      </c>
    </row>
    <row r="3" spans="1:7">
      <c r="A3">
        <v>2000</v>
      </c>
      <c r="C3">
        <f>$G$1*A3</f>
        <v>200</v>
      </c>
      <c r="D3" t="s">
        <v>66</v>
      </c>
    </row>
    <row r="4" spans="1:7">
      <c r="A4">
        <v>3000</v>
      </c>
      <c r="C4">
        <f>A4*(1-G$1)</f>
        <v>2700</v>
      </c>
      <c r="D4" t="s">
        <v>67</v>
      </c>
    </row>
    <row r="5" spans="1:7">
      <c r="A5">
        <v>4000</v>
      </c>
      <c r="C5">
        <f>A5*(1-$G1)</f>
        <v>3600</v>
      </c>
      <c r="D5" t="s">
        <v>68</v>
      </c>
    </row>
    <row r="6" spans="1:7">
      <c r="A6">
        <v>5000</v>
      </c>
      <c r="C6">
        <f>SUM(A2:A6)</f>
        <v>15000</v>
      </c>
      <c r="D6" t="s">
        <v>69</v>
      </c>
    </row>
    <row r="7" spans="1:7">
      <c r="C7">
        <f>SUM($A$2:$A$6)/COUNT(A2:A6)</f>
        <v>3000</v>
      </c>
      <c r="D7" t="s">
        <v>70</v>
      </c>
    </row>
    <row r="8" spans="1:7">
      <c r="C8">
        <f>Data!B2</f>
        <v>12</v>
      </c>
      <c r="D8" t="s">
        <v>71</v>
      </c>
    </row>
    <row r="9" spans="1:7">
      <c r="C9">
        <f>SUM(Data!B2:B6)</f>
        <v>72</v>
      </c>
      <c r="D9" t="s">
        <v>72</v>
      </c>
    </row>
    <row r="10" spans="1:7">
      <c r="C10">
        <f>Data!B3*Data!C3</f>
        <v>17500</v>
      </c>
      <c r="D10" t="s">
        <v>73</v>
      </c>
    </row>
    <row r="11" spans="1:7">
      <c r="C11">
        <f>SUMPRODUCT(Data!B2:B6,Data!C2:C6)</f>
        <v>76100</v>
      </c>
      <c r="D11" t="s">
        <v>74</v>
      </c>
    </row>
    <row r="12" spans="1:7">
      <c r="C12">
        <f>'매출 자료'!A1+'매출 자료'!A2</f>
        <v>350</v>
      </c>
      <c r="D12" t="s">
        <v>75</v>
      </c>
    </row>
    <row r="13" spans="1:7">
      <c r="C13">
        <f>VLOOKUP("귤",Data!A2:C6,3,FALSE)</f>
        <v>400</v>
      </c>
      <c r="D13" t="s">
        <v>76</v>
      </c>
    </row>
    <row r="14" spans="1:7">
      <c r="C14" t="str">
        <f>INDEX(Data!A2:A6,MATCH(30,Data!B2:B6,0))</f>
        <v>귤</v>
      </c>
      <c r="D14" t="s">
        <v>77</v>
      </c>
    </row>
    <row r="15" spans="1:7">
      <c r="C15">
        <f>MATCH("포도",Data!A2:A6,0)</f>
        <v>4</v>
      </c>
      <c r="D15" t="s">
        <v>78</v>
      </c>
    </row>
    <row r="16" spans="1:7">
      <c r="C16">
        <f>Data!E9</f>
        <v>0</v>
      </c>
      <c r="D16" t="s">
        <v>79</v>
      </c>
    </row>
    <row r="17" spans="3:4">
      <c r="C17">
        <f>C2+C3</f>
        <v>1100</v>
      </c>
      <c r="D17" t="s">
        <v>80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zoomScaleNormal="100" zoomScaleSheetLayoutView="100" workbookViewId="0"/>
  </sheetViews>
  <sheetFormatPr defaultRowHeight="13.5"/>
  <cols>
    <col min="3" max="3" width="40" customWidth="1"/>
    <col min="4" max="4" width="44" customWidth="1"/>
  </cols>
  <sheetData>
    <row r="1" spans="1:4">
      <c r="A1" t="s">
        <v>81</v>
      </c>
      <c r="B1" t="s">
        <v>82</v>
      </c>
      <c r="C1" t="s">
        <v>83</v>
      </c>
      <c r="D1" t="s">
        <v>84</v>
      </c>
    </row>
    <row r="2" spans="1:4">
      <c r="A2" t="s">
        <v>85</v>
      </c>
      <c r="B2">
        <v>12</v>
      </c>
      <c r="C2">
        <v>1200</v>
      </c>
    </row>
    <row r="3" spans="1:4">
      <c r="A3" t="s">
        <v>86</v>
      </c>
      <c r="B3">
        <v>7</v>
      </c>
      <c r="C3">
        <v>2500</v>
      </c>
      <c r="D3" t="s">
        <v>87</v>
      </c>
    </row>
    <row r="4" spans="1:4">
      <c r="A4" t="s">
        <v>88</v>
      </c>
      <c r="B4">
        <v>30</v>
      </c>
      <c r="C4">
        <v>400</v>
      </c>
    </row>
    <row r="5" spans="1:4">
      <c r="A5" t="s">
        <v>89</v>
      </c>
      <c r="B5">
        <v>5</v>
      </c>
      <c r="C5">
        <v>3200</v>
      </c>
      <c r="D5" t="s">
        <v>87</v>
      </c>
    </row>
    <row r="6" spans="1:4">
      <c r="A6" t="s">
        <v>90</v>
      </c>
      <c r="B6">
        <v>18</v>
      </c>
      <c r="C6">
        <v>900</v>
      </c>
      <c r="D6" t="s">
        <v>91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zoomScaleNormal="100" zoomScaleSheetLayoutView="100" workbookViewId="0"/>
  </sheetViews>
  <sheetFormatPr defaultRowHeight="13.5"/>
  <cols>
    <col min="3" max="3" width="40" customWidth="1"/>
    <col min="4" max="4" width="44" customWidth="1"/>
  </cols>
  <sheetData>
    <row r="1" spans="1:1">
      <c r="A1">
        <v>100</v>
      </c>
    </row>
    <row r="2" spans="1:1">
      <c r="A2">
        <v>250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zoomScaleNormal="100" zoomScaleSheetLayoutView="100" workbookViewId="0"/>
  </sheetViews>
  <sheetFormatPr defaultRowHeight="13.5"/>
  <cols>
    <col min="3" max="3" width="40" customWidth="1"/>
    <col min="4" max="4" width="4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C2">
        <f>DATE(1900,1,1)</f>
        <v>1</v>
      </c>
      <c r="D2" t="s">
        <v>92</v>
      </c>
    </row>
    <row r="3" spans="1:4">
      <c r="C3">
        <f>DATE(1900,2,28)</f>
        <v>59</v>
      </c>
      <c r="D3" t="s">
        <v>93</v>
      </c>
    </row>
    <row r="4" spans="1:4">
      <c r="C4">
        <f>DATE(1900,2,29)</f>
        <v>60</v>
      </c>
      <c r="D4" t="s">
        <v>94</v>
      </c>
    </row>
    <row r="5" spans="1:4">
      <c r="C5">
        <f>DATE(1900,3,1)</f>
        <v>61</v>
      </c>
      <c r="D5" t="s">
        <v>95</v>
      </c>
    </row>
    <row r="6" spans="1:4">
      <c r="C6">
        <f>DATE(2024,2,29)</f>
        <v>45351</v>
      </c>
      <c r="D6" t="s">
        <v>96</v>
      </c>
    </row>
    <row r="7" spans="1:4">
      <c r="C7">
        <f>DATE(2023,2,29)</f>
        <v>44986</v>
      </c>
      <c r="D7" t="s">
        <v>97</v>
      </c>
    </row>
    <row r="8" spans="1:4">
      <c r="C8">
        <f>DATE(2024,13,1)</f>
        <v>45658</v>
      </c>
      <c r="D8" t="s">
        <v>98</v>
      </c>
    </row>
    <row r="9" spans="1:4">
      <c r="C9">
        <f>DATE(2024,1,0)</f>
        <v>45291</v>
      </c>
      <c r="D9" t="s">
        <v>99</v>
      </c>
    </row>
    <row r="10" spans="1:4">
      <c r="A10">
        <v>60</v>
      </c>
      <c r="C10">
        <f>YEAR(A10)</f>
        <v>1900</v>
      </c>
      <c r="D10" t="s">
        <v>100</v>
      </c>
    </row>
    <row r="11" spans="1:4">
      <c r="A11">
        <v>60</v>
      </c>
      <c r="C11">
        <f>MONTH(A11)</f>
        <v>2</v>
      </c>
      <c r="D11" t="s">
        <v>101</v>
      </c>
    </row>
    <row r="12" spans="1:4">
      <c r="A12">
        <v>60</v>
      </c>
      <c r="C12">
        <f>DAY(A12)</f>
        <v>29</v>
      </c>
      <c r="D12" t="s">
        <v>102</v>
      </c>
    </row>
    <row r="13" spans="1:4">
      <c r="A13">
        <v>61</v>
      </c>
      <c r="C13">
        <f>DAY(A13)</f>
        <v>1</v>
      </c>
      <c r="D13" t="s">
        <v>103</v>
      </c>
    </row>
    <row r="14" spans="1:4">
      <c r="C14">
        <f>DATEVALUE("2024-03-15")</f>
        <v>45366</v>
      </c>
      <c r="D14" t="s">
        <v>104</v>
      </c>
    </row>
    <row r="15" spans="1:4">
      <c r="C15">
        <f>DATE(2024,12,25)-DATE(2024,1,1)</f>
        <v>359</v>
      </c>
      <c r="D15" t="s">
        <v>105</v>
      </c>
    </row>
    <row r="16" spans="1:4">
      <c r="C16">
        <f>DATEDIF(DATE(2000,5,15),DATE(2024,3,15),"Y")</f>
        <v>23</v>
      </c>
      <c r="D16" t="s">
        <v>106</v>
      </c>
    </row>
    <row r="17" spans="1:4">
      <c r="C17">
        <f>WEEKDAY(DATE(2024,3,15))</f>
        <v>6</v>
      </c>
      <c r="D17" t="s">
        <v>107</v>
      </c>
    </row>
    <row r="18" spans="1:4">
      <c r="A18">
        <v>1</v>
      </c>
      <c r="C18">
        <f>WEEKDAY(A18)</f>
        <v>1</v>
      </c>
      <c r="D18" t="s">
        <v>108</v>
      </c>
    </row>
    <row r="19" spans="1:4">
      <c r="A19">
        <v>45366</v>
      </c>
      <c r="C19">
        <f>YEAR(A19)*10000+MONTH(A19)*100+DAY(A19)</f>
        <v>20240315</v>
      </c>
      <c r="D19" t="s">
        <v>109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"/>
  <sheetViews>
    <sheetView zoomScaleNormal="100" zoomScaleSheetLayoutView="100" workbookViewId="0"/>
  </sheetViews>
  <sheetFormatPr defaultRowHeight="13.5"/>
  <cols>
    <col min="3" max="3" width="40" customWidth="1"/>
    <col min="4" max="4" width="4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C2" t="e">
        <f>1/0</f>
        <v>#DIV/0!</v>
      </c>
      <c r="D2" t="s">
        <v>110</v>
      </c>
    </row>
    <row r="3" spans="1:4">
      <c r="A3">
        <v>5</v>
      </c>
      <c r="B3">
        <v>0</v>
      </c>
      <c r="C3" t="e">
        <f>A3/B3</f>
        <v>#DIV/0!</v>
      </c>
      <c r="D3" t="s">
        <v>111</v>
      </c>
    </row>
    <row r="4" spans="1:4">
      <c r="C4" t="e">
        <f>"가"+1</f>
        <v>#VALUE!</v>
      </c>
      <c r="D4" t="s">
        <v>112</v>
      </c>
    </row>
    <row r="5" spans="1:4">
      <c r="C5" t="e">
        <f>SQRT(-1)</f>
        <v>#NUM!</v>
      </c>
      <c r="D5" t="s">
        <v>113</v>
      </c>
    </row>
    <row r="6" spans="1:4">
      <c r="C6" t="e">
        <f>DATE(-1,1,1)</f>
        <v>#NUM!</v>
      </c>
      <c r="D6" t="s">
        <v>114</v>
      </c>
    </row>
    <row r="7" spans="1:4">
      <c r="C7" t="e">
        <f ca="1">FOOBAR(1)</f>
        <v>#NAME?</v>
      </c>
      <c r="D7" t="s">
        <v>115</v>
      </c>
    </row>
    <row r="8" spans="1:4">
      <c r="C8" t="e">
        <f ca="1">SUMM(1,2)</f>
        <v>#NAME?</v>
      </c>
      <c r="D8" t="s">
        <v>116</v>
      </c>
    </row>
    <row r="9" spans="1:4">
      <c r="C9" t="e">
        <f>VLOOKUP("수박",Data!A2:C6,2,FALSE)</f>
        <v>#N/A</v>
      </c>
      <c r="D9" t="s">
        <v>117</v>
      </c>
    </row>
    <row r="10" spans="1:4">
      <c r="C10" t="e">
        <f>MATCH(999,Data!B2:B6,0)</f>
        <v>#N/A</v>
      </c>
      <c r="D10" t="s">
        <v>118</v>
      </c>
    </row>
    <row r="11" spans="1:4">
      <c r="C11" t="e">
        <f>INDEX(Data!A2:A6,10)</f>
        <v>#REF!</v>
      </c>
      <c r="D11" t="s">
        <v>119</v>
      </c>
    </row>
    <row r="12" spans="1:4">
      <c r="C12" t="e">
        <f>VLOOKUP("사과",Data!A2:C6,5,FALSE)</f>
        <v>#REF!</v>
      </c>
      <c r="D12" t="s">
        <v>120</v>
      </c>
    </row>
    <row r="13" spans="1:4">
      <c r="A13">
        <v>1</v>
      </c>
      <c r="B13">
        <v>2</v>
      </c>
      <c r="C13" t="e">
        <f>SUM(A13:A14 B13:B14)</f>
        <v>#NULL!</v>
      </c>
      <c r="D13" t="s">
        <v>121</v>
      </c>
    </row>
    <row r="14" spans="1:4">
      <c r="C14" t="e">
        <f>1/0+1</f>
        <v>#DIV/0!</v>
      </c>
      <c r="D14" t="s">
        <v>122</v>
      </c>
    </row>
    <row r="15" spans="1:4">
      <c r="C15" t="e">
        <f>IF(1/0&gt;1,1,2)</f>
        <v>#DIV/0!</v>
      </c>
      <c r="D15" t="s">
        <v>123</v>
      </c>
    </row>
    <row r="16" spans="1:4">
      <c r="C16" t="str">
        <f>IFERROR(1/0,"대체")</f>
        <v>대체</v>
      </c>
      <c r="D16" t="s">
        <v>124</v>
      </c>
    </row>
    <row r="17" spans="3:4">
      <c r="C17" t="b">
        <f>ISERROR(1/0)</f>
        <v>1</v>
      </c>
      <c r="D17" t="s">
        <v>125</v>
      </c>
    </row>
    <row r="18" spans="3:4">
      <c r="C18" t="e">
        <f>SQRT("abc")</f>
        <v>#VALUE!</v>
      </c>
      <c r="D18" t="s">
        <v>126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2026-10-23T02:56:44Z</dcterms:created>
  <dcterms:modified xsi:type="dcterms:W3CDTF">2026-10-23T02:56:44Z</dcterms:modified>
  <cp:category/>
  <cp:contentStatus/>
</cp:coreProperties>
</file>