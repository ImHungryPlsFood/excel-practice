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ithmetic" sheetId="1" r:id="rId1"/>
    <sheet name="CoreFunctions" sheetId="2" r:id="rId2"/>
    <sheet name="References" sheetId="3" r:id="rId3"/>
    <sheet name="Data" sheetId="4" r:id="rId4"/>
    <sheet name="매출 자료" sheetId="5" r:id="rId5"/>
    <sheet name="DateSerial" sheetId="6" r:id="rId6"/>
    <sheet name="ErrorValues" sheetId="7" r:id="rId7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3" max="3" width="40" customWidth="1"/>
    <col min="4" max="4" width="44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</row>
    <row r="2">
      <c r="A2">
        <v>3</v>
      </c>
      <c r="B2">
        <v>4</v>
      </c>
      <c r="C2">
        <f>A2+B2</f>
      </c>
      <c r="D2" t="inlineStr">
        <is>
          <t xml:space="preserve">덧셈</t>
        </is>
      </c>
    </row>
    <row r="3">
      <c r="A3">
        <v>10</v>
      </c>
      <c r="B3">
        <v>4</v>
      </c>
      <c r="C3">
        <f>A3-B3</f>
      </c>
      <c r="D3" t="inlineStr">
        <is>
          <t xml:space="preserve">뺄셈</t>
        </is>
      </c>
    </row>
    <row r="4">
      <c r="A4">
        <v>6</v>
      </c>
      <c r="B4">
        <v>7</v>
      </c>
      <c r="C4">
        <f>A4*B4</f>
      </c>
      <c r="D4" t="inlineStr">
        <is>
          <t xml:space="preserve">곱셈</t>
        </is>
      </c>
    </row>
    <row r="5">
      <c r="A5">
        <v>7</v>
      </c>
      <c r="B5">
        <v>2</v>
      </c>
      <c r="C5">
        <f>A5/B5</f>
      </c>
      <c r="D5" t="inlineStr">
        <is>
          <t xml:space="preserve">나눗셈 결과 소수</t>
        </is>
      </c>
    </row>
    <row r="6">
      <c r="A6">
        <v>2</v>
      </c>
      <c r="B6">
        <v>10</v>
      </c>
      <c r="C6">
        <f>A6^B6</f>
      </c>
      <c r="D6" t="inlineStr">
        <is>
          <t xml:space="preserve">거듭제곱</t>
        </is>
      </c>
    </row>
    <row r="7">
      <c r="A7">
        <v>2</v>
      </c>
      <c r="B7">
        <v>3</v>
      </c>
      <c r="C7">
        <f>A7+B7*4</f>
      </c>
      <c r="D7" t="inlineStr">
        <is>
          <t xml:space="preserve">연산자 우선순위(곱셈 먼저)</t>
        </is>
      </c>
    </row>
    <row r="8">
      <c r="A8">
        <v>2</v>
      </c>
      <c r="B8">
        <v>3</v>
      </c>
      <c r="C8">
        <f>(A8+B8)*4</f>
      </c>
      <c r="D8" t="inlineStr">
        <is>
          <t xml:space="preserve">괄호 우선</t>
        </is>
      </c>
    </row>
    <row r="9">
      <c r="A9">
        <v>3</v>
      </c>
      <c r="C9">
        <f>-A9^2</f>
      </c>
      <c r="D9" t="inlineStr">
        <is>
          <t xml:space="preserve">단항 음수가 거듭제곱보다 먼저</t>
        </is>
      </c>
    </row>
    <row r="10">
      <c r="A10">
        <v>0.1</v>
      </c>
      <c r="B10">
        <v>0.2</v>
      </c>
      <c r="C10">
        <f>A10+B10</f>
      </c>
      <c r="D10" t="inlineStr">
        <is>
          <t xml:space="preserve">부동소수 덧셈 오차</t>
        </is>
      </c>
    </row>
    <row r="11">
      <c r="A11">
        <v>1</v>
      </c>
      <c r="B11">
        <v>3</v>
      </c>
      <c r="C11">
        <f>A11/B11*B11</f>
      </c>
      <c r="D11" t="inlineStr">
        <is>
          <t xml:space="preserve">나눗셈 후 곱셈 복원</t>
        </is>
      </c>
    </row>
    <row r="12">
      <c r="A12">
        <v>50</v>
      </c>
      <c r="C12">
        <f>A12%</f>
      </c>
      <c r="D12" t="inlineStr">
        <is>
          <t xml:space="preserve">% 연산자</t>
        </is>
      </c>
    </row>
    <row r="13">
      <c r="A13" t="inlineStr">
        <is>
          <t xml:space="preserve">합계</t>
        </is>
      </c>
      <c r="B13">
        <v>10</v>
      </c>
      <c r="C13">
        <f>A13&amp;B13</f>
      </c>
      <c r="D13" t="inlineStr">
        <is>
          <t xml:space="preserve">문자열 연결(&amp;)과 숫자</t>
        </is>
      </c>
    </row>
    <row r="14">
      <c r="A14">
        <v>1.5</v>
      </c>
      <c r="C14">
        <f>"값:"&amp;A14</f>
      </c>
      <c r="D14" t="inlineStr">
        <is>
          <t xml:space="preserve">소수의 문자열 변환</t>
        </is>
      </c>
    </row>
    <row r="15">
      <c r="A15" t="inlineStr">
        <is>
          <t xml:space="preserve">5</t>
        </is>
      </c>
      <c r="B15">
        <v>2</v>
      </c>
      <c r="C15">
        <f>A15*B15</f>
      </c>
      <c r="D15" t="inlineStr">
        <is>
          <t xml:space="preserve">숫자 모양 문자열의 자동 변환</t>
        </is>
      </c>
    </row>
    <row r="16">
      <c r="A16" t="b">
        <v>1</v>
      </c>
      <c r="B16">
        <v>1</v>
      </c>
      <c r="C16">
        <f>A16+B16</f>
      </c>
      <c r="D16" t="inlineStr">
        <is>
          <t xml:space="preserve">논리값 TRUE의 산술</t>
        </is>
      </c>
    </row>
    <row r="17">
      <c r="B17">
        <v>5</v>
      </c>
      <c r="C17">
        <f>A17+B17</f>
      </c>
      <c r="D17" t="inlineStr">
        <is>
          <t xml:space="preserve">빈 셀은 0</t>
        </is>
      </c>
    </row>
    <row r="18">
      <c r="A18">
        <v>1</v>
      </c>
      <c r="C18">
        <f>A18*1E+3</f>
      </c>
      <c r="D18" t="inlineStr">
        <is>
          <t xml:space="preserve">지수 표기 숫자 리터럴</t>
        </is>
      </c>
    </row>
  </sheetData>
</worksheet>
</file>

<file path=xl/worksheets/sheet2.xml><?xml version="1.0" encoding="utf-8"?>
<worksheet xmlns="http://schemas.openxmlformats.org/spreadsheetml/2006/main">
  <cols>
    <col min="3" max="3" width="40" customWidth="1"/>
    <col min="4" max="4" width="44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F1" t="inlineStr">
        <is>
          <t xml:space="preserve">이름</t>
        </is>
      </c>
      <c r="G1" t="inlineStr">
        <is>
          <t xml:space="preserve">점수</t>
        </is>
      </c>
      <c r="H1" t="inlineStr">
        <is>
          <t xml:space="preserve">부서</t>
        </is>
      </c>
    </row>
    <row r="2">
      <c r="C2">
        <f>SUM(G2:G7)</f>
      </c>
      <c r="D2" t="inlineStr">
        <is>
          <t xml:space="preserve">SUM: 빈 셀·문자 무시</t>
        </is>
      </c>
      <c r="F2" t="inlineStr">
        <is>
          <t xml:space="preserve">김민준</t>
        </is>
      </c>
      <c r="G2">
        <v>85</v>
      </c>
      <c r="H2" t="inlineStr">
        <is>
          <t xml:space="preserve">영업</t>
        </is>
      </c>
    </row>
    <row r="3">
      <c r="C3">
        <f>AVERAGE(G2:G7)</f>
      </c>
      <c r="D3" t="inlineStr">
        <is>
          <t xml:space="preserve">AVERAGE: 숫자만 평균</t>
        </is>
      </c>
      <c r="F3" t="inlineStr">
        <is>
          <t xml:space="preserve">이서연</t>
        </is>
      </c>
      <c r="G3">
        <v>92</v>
      </c>
      <c r="H3" t="inlineStr">
        <is>
          <t xml:space="preserve">개발</t>
        </is>
      </c>
    </row>
    <row r="4">
      <c r="C4">
        <f>MIN(G2:G7)</f>
      </c>
      <c r="D4" t="inlineStr">
        <is>
          <t xml:space="preserve">MIN</t>
        </is>
      </c>
      <c r="F4" t="inlineStr">
        <is>
          <t xml:space="preserve">박도윤</t>
        </is>
      </c>
      <c r="G4">
        <v>78</v>
      </c>
      <c r="H4" t="inlineStr">
        <is>
          <t xml:space="preserve">영업</t>
        </is>
      </c>
    </row>
    <row r="5">
      <c r="C5">
        <f>MAX(G2:G7)</f>
      </c>
      <c r="D5" t="inlineStr">
        <is>
          <t xml:space="preserve">MAX</t>
        </is>
      </c>
      <c r="F5" t="inlineStr">
        <is>
          <t xml:space="preserve">최하은</t>
        </is>
      </c>
      <c r="H5" t="inlineStr">
        <is>
          <t xml:space="preserve">개발</t>
        </is>
      </c>
    </row>
    <row r="6">
      <c r="C6">
        <f>COUNT(G2:G7)</f>
      </c>
      <c r="D6" t="inlineStr">
        <is>
          <t xml:space="preserve">COUNT: 숫자 셀 개수</t>
        </is>
      </c>
      <c r="F6" t="inlineStr">
        <is>
          <t xml:space="preserve">정시우</t>
        </is>
      </c>
      <c r="G6">
        <v>64</v>
      </c>
      <c r="H6" t="inlineStr">
        <is>
          <t xml:space="preserve">인사</t>
        </is>
      </c>
    </row>
    <row r="7">
      <c r="C7">
        <f>COUNTA(G2:G7)</f>
      </c>
      <c r="D7" t="inlineStr">
        <is>
          <t xml:space="preserve">COUNTA: 비어 있지 않은 셀</t>
        </is>
      </c>
      <c r="F7" t="inlineStr">
        <is>
          <t xml:space="preserve">한지아</t>
        </is>
      </c>
      <c r="G7" t="inlineStr">
        <is>
          <t xml:space="preserve">결석</t>
        </is>
      </c>
      <c r="H7" t="inlineStr">
        <is>
          <t xml:space="preserve">영업</t>
        </is>
      </c>
    </row>
    <row r="8">
      <c r="C8">
        <f>IF(G2&gt;=80,"합격","불합격")</f>
      </c>
      <c r="D8" t="inlineStr">
        <is>
          <t xml:space="preserve">IF 참</t>
        </is>
      </c>
    </row>
    <row r="9">
      <c r="C9">
        <f>IF(G6&gt;=80,"합격","불합격")</f>
      </c>
      <c r="D9" t="inlineStr">
        <is>
          <t xml:space="preserve">IF 거짓</t>
        </is>
      </c>
    </row>
    <row r="10">
      <c r="C10">
        <f>AND(G2&gt;80,G3&gt;80)</f>
      </c>
      <c r="D10" t="inlineStr">
        <is>
          <t xml:space="preserve">AND</t>
        </is>
      </c>
    </row>
    <row r="11">
      <c r="C11">
        <f>OR(G4&gt;80,G6&gt;80)</f>
      </c>
      <c r="D11" t="inlineStr">
        <is>
          <t xml:space="preserve">OR 모두 거짓</t>
        </is>
      </c>
    </row>
    <row r="12">
      <c r="C12">
        <f>NOT(G2&gt;80)</f>
      </c>
      <c r="D12" t="inlineStr">
        <is>
          <t xml:space="preserve">NOT</t>
        </is>
      </c>
    </row>
    <row r="13">
      <c r="A13">
        <v>2.345</v>
      </c>
      <c r="C13">
        <f>ROUND(A13,2)</f>
      </c>
      <c r="D13" t="inlineStr">
        <is>
          <t xml:space="preserve">ROUND: 이진 표현 경계값</t>
        </is>
      </c>
    </row>
    <row r="14">
      <c r="A14">
        <v>-2.5</v>
      </c>
      <c r="C14">
        <f>ROUND(A14,0)</f>
      </c>
      <c r="D14" t="inlineStr">
        <is>
          <t xml:space="preserve">ROUND: 음수 .5는 0에서 멀어지는 쪽</t>
        </is>
      </c>
    </row>
    <row r="15">
      <c r="A15">
        <v>3.141</v>
      </c>
      <c r="C15">
        <f>ROUNDUP(A15,1)</f>
      </c>
      <c r="D15" t="inlineStr">
        <is>
          <t xml:space="preserve">ROUNDUP</t>
        </is>
      </c>
    </row>
    <row r="16">
      <c r="A16">
        <v>-3.789</v>
      </c>
      <c r="C16">
        <f>ROUNDDOWN(A16,1)</f>
      </c>
      <c r="D16" t="inlineStr">
        <is>
          <t xml:space="preserve">ROUNDDOWN: 음수는 0 쪽으로</t>
        </is>
      </c>
    </row>
    <row r="17">
      <c r="A17">
        <v>1234.5</v>
      </c>
      <c r="C17">
        <f>ROUND(A17,-2)</f>
      </c>
      <c r="D17" t="inlineStr">
        <is>
          <t xml:space="preserve">ROUND: 음수 자릿수</t>
        </is>
      </c>
    </row>
    <row r="18">
      <c r="C18">
        <f>SUMIF(H2:H7,"영업",G2:G7)</f>
      </c>
      <c r="D18" t="inlineStr">
        <is>
          <t xml:space="preserve">SUMIF: 문자 조건, 합계 범위의 문자 무시</t>
        </is>
      </c>
    </row>
    <row r="19">
      <c r="C19">
        <f>COUNTIF(H2:H7,"영업")</f>
      </c>
      <c r="D19" t="inlineStr">
        <is>
          <t xml:space="preserve">COUNTIF: 문자 조건</t>
        </is>
      </c>
    </row>
    <row r="20">
      <c r="C20">
        <f>COUNTIF(G2:G7,"&gt;80")</f>
      </c>
      <c r="D20" t="inlineStr">
        <is>
          <t xml:space="preserve">COUNTIF: 비교 조건</t>
        </is>
      </c>
    </row>
    <row r="21">
      <c r="C21">
        <f>COUNTIF(H2:H7,"?발")</f>
      </c>
      <c r="D21" t="inlineStr">
        <is>
          <t xml:space="preserve">COUNTIF: 와일드카드 ?</t>
        </is>
      </c>
    </row>
    <row r="22">
      <c r="C22">
        <f>SUMIFS(G2:G7,H2:H7,"영업",G2:G7,"&gt;70")</f>
      </c>
      <c r="D22" t="inlineStr">
        <is>
          <t xml:space="preserve">SUMIFS: 두 조건</t>
        </is>
      </c>
    </row>
    <row r="23">
      <c r="C23">
        <f>COUNTIFS(H2:H7,"개발",G2:G7,"&gt;=90")</f>
      </c>
      <c r="D23" t="inlineStr">
        <is>
          <t xml:space="preserve">COUNTIFS: 두 조건</t>
        </is>
      </c>
    </row>
    <row r="24">
      <c r="C24">
        <f>IFERROR(G2/1,"오류")</f>
      </c>
      <c r="D24" t="inlineStr">
        <is>
          <t xml:space="preserve">IFERROR: 정상 값 통과</t>
        </is>
      </c>
    </row>
    <row r="25">
      <c r="C25">
        <f>IFERROR(G7/1,"오류")</f>
      </c>
      <c r="D25" t="inlineStr">
        <is>
          <t xml:space="preserve">IFERROR: 문자 나눗셈 오류 대체</t>
        </is>
      </c>
    </row>
    <row r="26">
      <c r="C26">
        <f>LEN(F2)</f>
      </c>
      <c r="D26" t="inlineStr">
        <is>
          <t xml:space="preserve">LEN: 한글 글자 수</t>
        </is>
      </c>
    </row>
    <row r="27">
      <c r="C27">
        <f>CONCATENATE(F2,"-",H2)</f>
      </c>
      <c r="D27" t="inlineStr">
        <is>
          <t xml:space="preserve">CONCATENATE</t>
        </is>
      </c>
    </row>
    <row r="28">
      <c r="C28">
        <f>_xlfn.CONCAT(F2,"-",H2)</f>
      </c>
      <c r="D28" t="inlineStr">
        <is>
          <t xml:space="preserve">CONCAT(Excel 2019+ 함수)</t>
        </is>
      </c>
    </row>
    <row r="29">
      <c r="C29">
        <f>SQRT(G3+8)</f>
      </c>
      <c r="D29" t="inlineStr">
        <is>
          <t xml:space="preserve">SQRT</t>
        </is>
      </c>
    </row>
  </sheetData>
</worksheet>
</file>

<file path=xl/worksheets/sheet3.xml><?xml version="1.0" encoding="utf-8"?>
<worksheet xmlns="http://schemas.openxmlformats.org/spreadsheetml/2006/main">
  <cols>
    <col min="3" max="3" width="40" customWidth="1"/>
    <col min="4" max="4" width="44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  <c r="F1" t="inlineStr">
        <is>
          <t xml:space="preserve">할인율</t>
        </is>
      </c>
      <c r="G1">
        <v>0.1</v>
      </c>
    </row>
    <row r="2">
      <c r="A2">
        <v>1000</v>
      </c>
      <c r="C2">
        <f>A2*(1-$G$1)</f>
      </c>
      <c r="D2" t="inlineStr">
        <is>
          <t xml:space="preserve">절대 참조 $G$1</t>
        </is>
      </c>
    </row>
    <row r="3">
      <c r="A3">
        <v>2000</v>
      </c>
      <c r="C3">
        <f>$G$1*A3</f>
      </c>
      <c r="D3" t="inlineStr">
        <is>
          <t xml:space="preserve">절대 참조(순서 바꿈)</t>
        </is>
      </c>
    </row>
    <row r="4">
      <c r="A4">
        <v>3000</v>
      </c>
      <c r="C4">
        <f>A4*(1-G$1)</f>
      </c>
      <c r="D4" t="inlineStr">
        <is>
          <t xml:space="preserve">혼합 참조: 행 고정</t>
        </is>
      </c>
    </row>
    <row r="5">
      <c r="A5">
        <v>4000</v>
      </c>
      <c r="C5">
        <f>A5*(1-$G1)</f>
      </c>
      <c r="D5" t="inlineStr">
        <is>
          <t xml:space="preserve">혼합 참조: 열 고정($G1)</t>
        </is>
      </c>
    </row>
    <row r="6">
      <c r="A6">
        <v>5000</v>
      </c>
      <c r="C6">
        <f>SUM(A2:A6)</f>
      </c>
      <c r="D6" t="inlineStr">
        <is>
          <t xml:space="preserve">범위 참조</t>
        </is>
      </c>
    </row>
    <row r="7">
      <c r="C7">
        <f>SUM($A$2:$A$6)/COUNT(A2:A6)</f>
      </c>
      <c r="D7" t="inlineStr">
        <is>
          <t xml:space="preserve">절대 범위와 상대 범위 혼용</t>
        </is>
      </c>
    </row>
    <row r="8">
      <c r="C8">
        <f>Data!B2</f>
      </c>
      <c r="D8" t="inlineStr">
        <is>
          <t xml:space="preserve">다른 시트 단일 셀</t>
        </is>
      </c>
    </row>
    <row r="9">
      <c r="C9">
        <f>SUM(Data!B2:B6)</f>
      </c>
      <c r="D9" t="inlineStr">
        <is>
          <t xml:space="preserve">다른 시트 범위</t>
        </is>
      </c>
    </row>
    <row r="10">
      <c r="C10">
        <f>Data!B3*Data!C3</f>
      </c>
      <c r="D10" t="inlineStr">
        <is>
          <t xml:space="preserve">다른 시트 셀끼리 연산</t>
        </is>
      </c>
    </row>
    <row r="11">
      <c r="C11">
        <f>SUMPRODUCT(Data!B2:B6,Data!C2:C6)</f>
      </c>
      <c r="D11" t="inlineStr">
        <is>
          <t xml:space="preserve">다른 시트 두 범위의 곱의 합</t>
        </is>
      </c>
    </row>
    <row r="12">
      <c r="C12">
        <f>'매출 자료'!A1+'매출 자료'!A2</f>
      </c>
      <c r="D12" t="inlineStr">
        <is>
          <t xml:space="preserve">공백·한글 시트 이름 따옴표 참조</t>
        </is>
      </c>
    </row>
    <row r="13">
      <c r="C13">
        <f>VLOOKUP("귤",Data!A2:C6,3,FALSE)</f>
      </c>
      <c r="D13" t="inlineStr">
        <is>
          <t xml:space="preserve">VLOOKUP 정확히 일치</t>
        </is>
      </c>
    </row>
    <row r="14">
      <c r="C14">
        <f>INDEX(Data!A2:A6,MATCH(30,Data!B2:B6,0))</f>
      </c>
      <c r="D14" t="inlineStr">
        <is>
          <t xml:space="preserve">INDEX+MATCH</t>
        </is>
      </c>
    </row>
    <row r="15">
      <c r="C15">
        <f>MATCH("포도",Data!A2:A6,0)</f>
      </c>
      <c r="D15" t="inlineStr">
        <is>
          <t xml:space="preserve">MATCH 위치</t>
        </is>
      </c>
    </row>
    <row r="16">
      <c r="C16">
        <f>Data!E9</f>
      </c>
      <c r="D16" t="inlineStr">
        <is>
          <t xml:space="preserve">다른 시트 빈 셀은 0</t>
        </is>
      </c>
    </row>
    <row r="17">
      <c r="C17">
        <f>C2+C3</f>
      </c>
      <c r="D17" t="inlineStr">
        <is>
          <t xml:space="preserve">수식 셀을 참조하는 수식(연쇄 재계산)</t>
        </is>
      </c>
    </row>
  </sheetData>
</worksheet>
</file>

<file path=xl/worksheets/sheet4.xml><?xml version="1.0" encoding="utf-8"?>
<worksheet xmlns="http://schemas.openxmlformats.org/spreadsheetml/2006/main">
  <cols>
    <col min="3" max="3" width="40" customWidth="1"/>
    <col min="4" max="4" width="44" customWidth="1"/>
  </cols>
  <sheetData>
    <row r="1">
      <c r="A1" t="inlineStr">
        <is>
          <t xml:space="preserve">상품</t>
        </is>
      </c>
      <c r="B1" t="inlineStr">
        <is>
          <t xml:space="preserve">수량</t>
        </is>
      </c>
      <c r="C1" t="inlineStr">
        <is>
          <t xml:space="preserve">단가</t>
        </is>
      </c>
      <c r="D1" t="inlineStr">
        <is>
          <t xml:space="preserve">비고</t>
        </is>
      </c>
    </row>
    <row r="2">
      <c r="A2" t="inlineStr">
        <is>
          <t xml:space="preserve">사과</t>
        </is>
      </c>
      <c r="B2">
        <v>12</v>
      </c>
      <c r="C2">
        <v>1200</v>
      </c>
    </row>
    <row r="3">
      <c r="A3" t="inlineStr">
        <is>
          <t xml:space="preserve">배</t>
        </is>
      </c>
      <c r="B3">
        <v>7</v>
      </c>
      <c r="C3">
        <v>2500</v>
      </c>
      <c r="D3" t="inlineStr">
        <is>
          <t xml:space="preserve">할인</t>
        </is>
      </c>
    </row>
    <row r="4">
      <c r="A4" t="inlineStr">
        <is>
          <t xml:space="preserve">귤</t>
        </is>
      </c>
      <c r="B4">
        <v>30</v>
      </c>
      <c r="C4">
        <v>400</v>
      </c>
    </row>
    <row r="5">
      <c r="A5" t="inlineStr">
        <is>
          <t xml:space="preserve">포도</t>
        </is>
      </c>
      <c r="B5">
        <v>5</v>
      </c>
      <c r="C5">
        <v>3200</v>
      </c>
      <c r="D5" t="inlineStr">
        <is>
          <t xml:space="preserve">할인</t>
        </is>
      </c>
    </row>
    <row r="6">
      <c r="A6" t="inlineStr">
        <is>
          <t xml:space="preserve">감</t>
        </is>
      </c>
      <c r="B6">
        <v>18</v>
      </c>
      <c r="C6">
        <v>900</v>
      </c>
      <c r="D6" t="inlineStr">
        <is>
          <t xml:space="preserve">품절</t>
        </is>
      </c>
    </row>
  </sheetData>
</worksheet>
</file>

<file path=xl/worksheets/sheet5.xml><?xml version="1.0" encoding="utf-8"?>
<worksheet xmlns="http://schemas.openxmlformats.org/spreadsheetml/2006/main">
  <cols>
    <col min="3" max="3" width="40" customWidth="1"/>
    <col min="4" max="4" width="44" customWidth="1"/>
  </cols>
  <sheetData>
    <row r="1">
      <c r="A1">
        <v>100</v>
      </c>
    </row>
    <row r="2">
      <c r="A2">
        <v>250</v>
      </c>
    </row>
  </sheetData>
</worksheet>
</file>

<file path=xl/worksheets/sheet6.xml><?xml version="1.0" encoding="utf-8"?>
<worksheet xmlns="http://schemas.openxmlformats.org/spreadsheetml/2006/main">
  <cols>
    <col min="3" max="3" width="40" customWidth="1"/>
    <col min="4" max="4" width="44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</row>
    <row r="2">
      <c r="C2">
        <f>DATE(1900,1,1)</f>
      </c>
      <c r="D2" t="inlineStr">
        <is>
          <t xml:space="preserve">일련번호 기준 1900-01-01 = 1</t>
        </is>
      </c>
    </row>
    <row r="3">
      <c r="C3">
        <f>DATE(1900,2,28)</f>
      </c>
      <c r="D3" t="inlineStr">
        <is>
          <t xml:space="preserve">1900-02-28 = 59</t>
        </is>
      </c>
    </row>
    <row r="4">
      <c r="C4">
        <f>DATE(1900,2,29)</f>
      </c>
      <c r="D4" t="inlineStr">
        <is>
          <t xml:space="preserve">없는 날짜 1900-02-29(1900 윤년 버그)</t>
        </is>
      </c>
    </row>
    <row r="5">
      <c r="C5">
        <f>DATE(1900,3,1)</f>
      </c>
      <c r="D5" t="inlineStr">
        <is>
          <t xml:space="preserve">1900-03-01 = 61</t>
        </is>
      </c>
    </row>
    <row r="6">
      <c r="C6">
        <f>DATE(2024,2,29)</f>
      </c>
      <c r="D6" t="inlineStr">
        <is>
          <t xml:space="preserve">실제 윤년</t>
        </is>
      </c>
    </row>
    <row r="7">
      <c r="C7">
        <f>DATE(2023,2,29)</f>
      </c>
      <c r="D7" t="inlineStr">
        <is>
          <t xml:space="preserve">없는 날짜는 다음 달로 넘김</t>
        </is>
      </c>
    </row>
    <row r="8">
      <c r="C8">
        <f>DATE(2024,13,1)</f>
      </c>
      <c r="D8" t="inlineStr">
        <is>
          <t xml:space="preserve">13월은 다음 해 1월</t>
        </is>
      </c>
    </row>
    <row r="9">
      <c r="C9">
        <f>DATE(2024,1,0)</f>
      </c>
      <c r="D9" t="inlineStr">
        <is>
          <t xml:space="preserve">0일은 전달 말일</t>
        </is>
      </c>
    </row>
    <row r="10">
      <c r="A10">
        <v>60</v>
      </c>
      <c r="C10">
        <f>YEAR(A10)</f>
      </c>
      <c r="D10" t="inlineStr">
        <is>
          <t xml:space="preserve">일련번호 60의 연도</t>
        </is>
      </c>
    </row>
    <row r="11">
      <c r="A11">
        <v>60</v>
      </c>
      <c r="C11">
        <f>MONTH(A11)</f>
      </c>
      <c r="D11" t="inlineStr">
        <is>
          <t xml:space="preserve">일련번호 60의 월</t>
        </is>
      </c>
    </row>
    <row r="12">
      <c r="A12">
        <v>60</v>
      </c>
      <c r="C12">
        <f>DAY(A12)</f>
      </c>
      <c r="D12" t="inlineStr">
        <is>
          <t xml:space="preserve">일련번호 60의 일</t>
        </is>
      </c>
    </row>
    <row r="13">
      <c r="A13">
        <v>61</v>
      </c>
      <c r="C13">
        <f>DAY(A13)</f>
      </c>
      <c r="D13" t="inlineStr">
        <is>
          <t xml:space="preserve">일련번호 61의 일</t>
        </is>
      </c>
    </row>
    <row r="14">
      <c r="C14">
        <f>DATEVALUE("2024-03-15")</f>
      </c>
      <c r="D14" t="inlineStr">
        <is>
          <t xml:space="preserve">ISO 날짜 문자열 해석</t>
        </is>
      </c>
    </row>
    <row r="15">
      <c r="C15">
        <f>DATE(2024,12,25)-DATE(2024,1,1)</f>
      </c>
      <c r="D15" t="inlineStr">
        <is>
          <t xml:space="preserve">날짜 차(일수)</t>
        </is>
      </c>
    </row>
    <row r="16">
      <c r="C16">
        <f>DATEDIF(DATE(2000,5,15),DATE(2024,3,15),"Y")</f>
      </c>
      <c r="D16" t="inlineStr">
        <is>
          <t xml:space="preserve">DATEDIF 만 나이</t>
        </is>
      </c>
    </row>
    <row r="17">
      <c r="C17">
        <f>WEEKDAY(DATE(2024,3,15))</f>
      </c>
      <c r="D17" t="inlineStr">
        <is>
          <t xml:space="preserve">WEEKDAY 금요일</t>
        </is>
      </c>
    </row>
    <row r="18">
      <c r="A18">
        <v>1</v>
      </c>
      <c r="C18">
        <f>WEEKDAY(A18)</f>
      </c>
      <c r="D18" t="inlineStr">
        <is>
          <t xml:space="preserve">WEEKDAY: 1900-01-01을 일요일로 봄</t>
        </is>
      </c>
    </row>
    <row r="19">
      <c r="A19">
        <v>45366</v>
      </c>
      <c r="C19">
        <f>YEAR(A19)*10000+MONTH(A19)*100+DAY(A19)</f>
      </c>
      <c r="D19" t="inlineStr">
        <is>
          <t xml:space="preserve">일련번호 → 연월일</t>
        </is>
      </c>
    </row>
  </sheetData>
</worksheet>
</file>

<file path=xl/worksheets/sheet7.xml><?xml version="1.0" encoding="utf-8"?>
<worksheet xmlns="http://schemas.openxmlformats.org/spreadsheetml/2006/main">
  <cols>
    <col min="3" max="3" width="40" customWidth="1"/>
    <col min="4" max="4" width="44" customWidth="1"/>
  </cols>
  <sheetData>
    <row r="1">
      <c r="A1" t="inlineStr">
        <is>
          <t xml:space="preserve">입력1</t>
        </is>
      </c>
      <c r="B1" t="inlineStr">
        <is>
          <t xml:space="preserve">입력2</t>
        </is>
      </c>
      <c r="C1" t="inlineStr">
        <is>
          <t xml:space="preserve">수식</t>
        </is>
      </c>
      <c r="D1" t="inlineStr">
        <is>
          <t xml:space="preserve">검증 내용</t>
        </is>
      </c>
    </row>
    <row r="2">
      <c r="C2">
        <f>1/0</f>
      </c>
      <c r="D2" t="inlineStr">
        <is>
          <t xml:space="preserve">#DIV/0! 상수</t>
        </is>
      </c>
    </row>
    <row r="3">
      <c r="A3">
        <v>5</v>
      </c>
      <c r="B3">
        <v>0</v>
      </c>
      <c r="C3">
        <f>A3/B3</f>
      </c>
      <c r="D3" t="inlineStr">
        <is>
          <t xml:space="preserve">#DIV/0! 셀 참조</t>
        </is>
      </c>
    </row>
    <row r="4">
      <c r="C4">
        <f>"가"+1</f>
      </c>
      <c r="D4" t="inlineStr">
        <is>
          <t xml:space="preserve">#VALUE! 문자 산술</t>
        </is>
      </c>
    </row>
    <row r="5">
      <c r="C5">
        <f>SQRT(-1)</f>
      </c>
      <c r="D5" t="inlineStr">
        <is>
          <t xml:space="preserve">#NUM! 음수 제곱근</t>
        </is>
      </c>
    </row>
    <row r="6">
      <c r="C6">
        <f>DATE(-1,1,1)</f>
      </c>
      <c r="D6" t="inlineStr">
        <is>
          <t xml:space="preserve">#NUM! 범위 밖 날짜</t>
        </is>
      </c>
    </row>
    <row r="7">
      <c r="C7">
        <f>FOOBAR(1)</f>
      </c>
      <c r="D7" t="inlineStr">
        <is>
          <t xml:space="preserve">#NAME? 없는 함수</t>
        </is>
      </c>
    </row>
    <row r="8">
      <c r="C8">
        <f>SUMM(1,2)</f>
      </c>
      <c r="D8" t="inlineStr">
        <is>
          <t xml:space="preserve">#NAME? 함수 이름 오타</t>
        </is>
      </c>
    </row>
    <row r="9">
      <c r="C9">
        <f>VLOOKUP("수박",Data!A2:C6,2,FALSE)</f>
      </c>
      <c r="D9" t="inlineStr">
        <is>
          <t xml:space="preserve">#N/A VLOOKUP 못 찾음</t>
        </is>
      </c>
    </row>
    <row r="10">
      <c r="C10">
        <f>MATCH(999,Data!B2:B6,0)</f>
      </c>
      <c r="D10" t="inlineStr">
        <is>
          <t xml:space="preserve">#N/A MATCH 못 찾음</t>
        </is>
      </c>
    </row>
    <row r="11">
      <c r="C11">
        <f>INDEX(Data!A2:A6,10)</f>
      </c>
      <c r="D11" t="inlineStr">
        <is>
          <t xml:space="preserve">#REF! INDEX 범위 밖</t>
        </is>
      </c>
    </row>
    <row r="12">
      <c r="C12">
        <f>VLOOKUP("사과",Data!A2:C6,5,FALSE)</f>
      </c>
      <c r="D12" t="inlineStr">
        <is>
          <t xml:space="preserve">#REF! VLOOKUP 열 번호 초과</t>
        </is>
      </c>
    </row>
    <row r="13">
      <c r="A13">
        <v>1</v>
      </c>
      <c r="B13">
        <v>2</v>
      </c>
      <c r="C13">
        <f>SUM(A13:A14 B13:B14)</f>
      </c>
      <c r="D13" t="inlineStr">
        <is>
          <t xml:space="preserve">#NULL! 겹치지 않는 범위 교집합(공백 연산자)</t>
        </is>
      </c>
    </row>
    <row r="14">
      <c r="C14">
        <f>1/0+1</f>
      </c>
      <c r="D14" t="inlineStr">
        <is>
          <t xml:space="preserve">오류 전파</t>
        </is>
      </c>
    </row>
    <row r="15">
      <c r="C15">
        <f>IF(1/0&gt;1,1,2)</f>
      </c>
      <c r="D15" t="inlineStr">
        <is>
          <t xml:space="preserve">조건식 오류 전파</t>
        </is>
      </c>
    </row>
    <row r="16">
      <c r="C16">
        <f>IFERROR(1/0,"대체")</f>
      </c>
      <c r="D16" t="inlineStr">
        <is>
          <t xml:space="preserve">IFERROR 오류 대체</t>
        </is>
      </c>
    </row>
    <row r="17">
      <c r="C17">
        <f>ISERROR(1/0)</f>
      </c>
      <c r="D17" t="inlineStr">
        <is>
          <t xml:space="preserve">ISERROR</t>
        </is>
      </c>
    </row>
    <row r="18">
      <c r="C18">
        <f>SQRT("abc")</f>
      </c>
      <c r="D18" t="inlineStr">
        <is>
          <t xml:space="preserve">#VALUE! 함수 인수 형식</t>
        </is>
      </c>
    </row>
  </sheetData>
</worksheet>
</file>