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showInkAnnotation="0" autoCompressPictures="0" defaultThemeVersion="166925"/>
  <xr:revisionPtr revIDLastSave="0" documentId="8_{42D03E94-A63D-47B1-BC58-1DF40BFF30F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" sheetId="1" r:id="rId1"/>
    <sheet name="D4_Exponent" sheetId="2" r:id="rId2"/>
    <sheet name="D5_Cycle" sheetId="3" r:id="rId3"/>
    <sheet name="D6_NumToText" sheetId="4" r:id="rId4"/>
    <sheet name="D7_IndexZero" sheetId="5" r:id="rId5"/>
    <sheet name="D8_Unsupported" sheetId="6" r:id="rId6"/>
    <sheet name="ConcatRange" sheetId="7" r:id="rId7"/>
    <sheet name="Text" sheetId="8" r:id="rId8"/>
    <sheet name="DateTime" sheetId="9" r:id="rId9"/>
    <sheet name="Lookup" sheetId="10" r:id="rId10"/>
    <sheet name="Aggregate" sheetId="11" r:id="rId11"/>
    <sheet name="DynamicArrays" sheetId="12" r:id="rId12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2" l="1" a="1"/>
  <c r="V2" i="12"/>
  <c r="T2" i="12" a="1"/>
  <c r="U2" i="12" s="1"/>
  <c r="T2" i="12"/>
  <c r="S2" i="12" a="1"/>
  <c r="S2" i="12"/>
  <c r="P2" i="12" a="1"/>
  <c r="P2" i="12"/>
  <c r="O2" i="12" a="1"/>
  <c r="O2" i="12"/>
  <c r="N2" i="12" a="1"/>
  <c r="N2" i="12"/>
  <c r="M2" i="12" a="1"/>
  <c r="M2" i="12"/>
  <c r="L2" i="12" a="1"/>
  <c r="L2" i="12"/>
  <c r="J2" i="12" a="1"/>
  <c r="J2" i="12"/>
  <c r="I2" i="12" a="1"/>
  <c r="I2" i="12"/>
  <c r="H2" i="12" a="1"/>
  <c r="H2" i="12"/>
  <c r="G2" i="12" a="1"/>
  <c r="G3" i="12" s="1"/>
  <c r="G2" i="12"/>
  <c r="F2" i="12" a="1"/>
  <c r="F2" i="12"/>
  <c r="E2" i="12" a="1"/>
  <c r="E2" i="12"/>
  <c r="D2" i="12" a="1"/>
  <c r="D2" i="12"/>
  <c r="B2" i="12" a="1"/>
  <c r="B2" i="12"/>
  <c r="A2" i="12" a="1"/>
  <c r="A2" i="12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2" i="11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C21" i="7"/>
  <c r="C20" i="7"/>
  <c r="C19" i="7"/>
  <c r="C18" i="7"/>
  <c r="C17" i="7"/>
  <c r="C16" i="7"/>
  <c r="C15" i="7"/>
  <c r="C13" i="7"/>
  <c r="C12" i="7"/>
  <c r="C11" i="7"/>
  <c r="C10" i="7"/>
  <c r="C9" i="7"/>
  <c r="C8" i="7"/>
  <c r="C7" i="7"/>
  <c r="C6" i="7"/>
  <c r="C5" i="7"/>
  <c r="C4" i="7"/>
  <c r="C3" i="7"/>
  <c r="J2" i="7"/>
  <c r="C14" i="7" s="1"/>
  <c r="C2" i="7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14" i="5"/>
  <c r="C13" i="5"/>
  <c r="C12" i="5"/>
  <c r="C11" i="5"/>
  <c r="C10" i="5"/>
  <c r="C9" i="5"/>
  <c r="C8" i="5"/>
  <c r="C7" i="5"/>
  <c r="C6" i="5"/>
  <c r="C5" i="5"/>
  <c r="C4" i="5"/>
  <c r="C3" i="5"/>
  <c r="C2" i="5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9" i="2"/>
  <c r="C8" i="2"/>
  <c r="C7" i="2"/>
  <c r="C6" i="2"/>
  <c r="C5" i="2"/>
  <c r="C4" i="2"/>
  <c r="C3" i="2"/>
  <c r="C2" i="2"/>
  <c r="X2" i="12" l="1"/>
  <c r="W2" i="12"/>
  <c r="S4" i="12"/>
  <c r="S3" i="12"/>
  <c r="R3" i="12"/>
  <c r="Q3" i="12"/>
  <c r="P3" i="12"/>
  <c r="R2" i="12"/>
  <c r="Q2" i="12"/>
  <c r="O4" i="12"/>
  <c r="O3" i="12"/>
  <c r="N4" i="12"/>
  <c r="N3" i="12"/>
  <c r="L4" i="12"/>
  <c r="L3" i="12"/>
  <c r="K6" i="12"/>
  <c r="J6" i="12"/>
  <c r="K5" i="12"/>
  <c r="J5" i="12"/>
  <c r="K4" i="12"/>
  <c r="J4" i="12"/>
  <c r="K3" i="12"/>
  <c r="J3" i="12"/>
  <c r="K2" i="12"/>
  <c r="I6" i="12"/>
  <c r="I5" i="12"/>
  <c r="I4" i="12"/>
  <c r="I3" i="12"/>
  <c r="H6" i="12"/>
  <c r="H5" i="12"/>
  <c r="H4" i="12"/>
  <c r="H3" i="12"/>
  <c r="F4" i="12"/>
  <c r="F3" i="12"/>
  <c r="C4" i="12"/>
  <c r="B4" i="12"/>
  <c r="C3" i="12"/>
  <c r="B3" i="12"/>
  <c r="C2" i="12"/>
  <c r="A4" i="12"/>
  <c r="A3" i="12"/>
  <c r="C6" i="3"/>
  <c r="C5" i="3"/>
  <c r="C4" i="3"/>
  <c r="C3" i="3"/>
  <c r="C2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<sst xmlns="http://schemas.openxmlformats.org/spreadsheetml/2006/main" count="654" uniqueCount="335">
  <si>
    <t>상품</t>
  </si>
  <si>
    <t>수량</t>
  </si>
  <si>
    <t>단가</t>
  </si>
  <si>
    <t>비고</t>
  </si>
  <si>
    <t>이름</t>
  </si>
  <si>
    <t>점수</t>
  </si>
  <si>
    <t>부서</t>
  </si>
  <si>
    <t>기준점</t>
  </si>
  <si>
    <t>등급</t>
  </si>
  <si>
    <t>내림차순</t>
  </si>
  <si>
    <t>사과</t>
  </si>
  <si>
    <t>김민준</t>
  </si>
  <si>
    <t>영업</t>
  </si>
  <si>
    <t>F</t>
  </si>
  <si>
    <t>배</t>
  </si>
  <si>
    <t>할인</t>
  </si>
  <si>
    <t>이서연</t>
  </si>
  <si>
    <t>개발</t>
  </si>
  <si>
    <t>D</t>
  </si>
  <si>
    <t>귤</t>
  </si>
  <si>
    <t>박도윤</t>
  </si>
  <si>
    <t>C</t>
  </si>
  <si>
    <t>포도</t>
  </si>
  <si>
    <t>최하은</t>
  </si>
  <si>
    <t>B</t>
  </si>
  <si>
    <t>감</t>
  </si>
  <si>
    <t>품절</t>
  </si>
  <si>
    <t>정시우</t>
  </si>
  <si>
    <t>인사</t>
  </si>
  <si>
    <t>A</t>
  </si>
  <si>
    <t>한지아</t>
  </si>
  <si>
    <t>결석</t>
  </si>
  <si>
    <t>입력1</t>
  </si>
  <si>
    <t>입력2</t>
  </si>
  <si>
    <t>수식</t>
  </si>
  <si>
    <t>검증 내용</t>
  </si>
  <si>
    <t>비교 방식</t>
  </si>
  <si>
    <t>양의 지수(부호 포함)</t>
  </si>
  <si>
    <t>값(원본수식)</t>
  </si>
  <si>
    <t>양의 지수(부호 없음)</t>
  </si>
  <si>
    <t>음의 지수</t>
  </si>
  <si>
    <t>대문자 E, 소수 가수</t>
  </si>
  <si>
    <t>소문자 e</t>
  </si>
  <si>
    <t>셀 참조와 지수 표기 곱</t>
  </si>
  <si>
    <t>지수 표기 두 개</t>
  </si>
  <si>
    <t>문자열 연결 안의 지수 표기</t>
  </si>
  <si>
    <t>자기 자신을 참조</t>
  </si>
  <si>
    <t>Excel만</t>
  </si>
  <si>
    <t>두 셀이 서로 참조(1)</t>
  </si>
  <si>
    <t>두 셀이 서로 참조(2)</t>
  </si>
  <si>
    <t>범위가 자기 자신을 포함</t>
  </si>
  <si>
    <t>순환 참조를 IFERROR로 감싼 셀</t>
  </si>
  <si>
    <t>&amp; : 0.30000000000000004</t>
  </si>
  <si>
    <t>값</t>
  </si>
  <si>
    <t>CONCATENATE</t>
  </si>
  <si>
    <t>CONCAT (어댑터가 15자리 규칙 적용)</t>
  </si>
  <si>
    <t>&amp; : 순환소수</t>
  </si>
  <si>
    <t>&amp; : 반올림 방향이 바뀌는 순환소수</t>
  </si>
  <si>
    <t>&amp; : 15자리 경계</t>
  </si>
  <si>
    <t>&amp; : 16자리 정수</t>
  </si>
  <si>
    <t>&amp; : 18자리 정수(과학 표기로 바뀜)</t>
  </si>
  <si>
    <t>&amp; : 1E+15</t>
  </si>
  <si>
    <t>&amp; : 1E+20</t>
  </si>
  <si>
    <t>&amp; : 1E-07</t>
  </si>
  <si>
    <t>&amp; : 0.000123</t>
  </si>
  <si>
    <t>&amp; : 음수</t>
  </si>
  <si>
    <t>LEN 안에서의 변환</t>
  </si>
  <si>
    <t>LEN : 순환소수</t>
  </si>
  <si>
    <t>LEFT : 숫자를 문자열로</t>
  </si>
  <si>
    <t>15자리 비교(연관 확인)</t>
  </si>
  <si>
    <t>TEXTJOIN 안에서의 변환</t>
  </si>
  <si>
    <t>열 전체(단가 열) 합계</t>
  </si>
  <si>
    <t>차이기록</t>
  </si>
  <si>
    <t>행 전체 합계</t>
  </si>
  <si>
    <t>열 전체 배열의 행 수</t>
  </si>
  <si>
    <t>행 전체 배열의 열 수</t>
  </si>
  <si>
    <t>열 전체 최댓값</t>
  </si>
  <si>
    <t>한 열 범위에 행 번호 0</t>
  </si>
  <si>
    <t>행·열 모두 0 (범위 전체)</t>
  </si>
  <si>
    <t>음수 행 번호</t>
  </si>
  <si>
    <t>열 번호 초과</t>
  </si>
  <si>
    <t>행 번호 초과</t>
  </si>
  <si>
    <t>음수 열 번호</t>
  </si>
  <si>
    <t>여러 열 범위에 행 번호만 (첫 열)</t>
  </si>
  <si>
    <t>한 행 범위에 번호 하나 (열 번호로 사용)</t>
  </si>
  <si>
    <t>AVERAGEIFS</t>
  </si>
  <si>
    <t>RANK 내림차순</t>
  </si>
  <si>
    <t>RANK 오름차순</t>
  </si>
  <si>
    <t>RANK.EQ</t>
  </si>
  <si>
    <t>XMATCH 정확히 일치</t>
  </si>
  <si>
    <t>XMATCH 작거나 같은 값</t>
  </si>
  <si>
    <t>LOOKUP 벡터 형식(근사 일치)</t>
  </si>
  <si>
    <t>SORTBY 후 첫 값</t>
  </si>
  <si>
    <t>MODE.SNGL</t>
  </si>
  <si>
    <t>MODE</t>
  </si>
  <si>
    <t>OFFSET</t>
  </si>
  <si>
    <t>INDIRECT</t>
  </si>
  <si>
    <t>NUMBERVALUE</t>
  </si>
  <si>
    <t>TEXTBEFORE</t>
  </si>
  <si>
    <t>문자</t>
  </si>
  <si>
    <t>오류 셀</t>
  </si>
  <si>
    <t>한 열 범위</t>
  </si>
  <si>
    <t>가</t>
  </si>
  <si>
    <t>2차원 범위는 행 우선 (12,1200,7,2500)</t>
  </si>
  <si>
    <t>빈 셀 건너뜀 (D2는 빈 셀)</t>
  </si>
  <si>
    <t>나</t>
  </si>
  <si>
    <t>중간 빈 셀</t>
  </si>
  <si>
    <t>숫자·논리값·긴 소수 (1.5TRUE0.3)</t>
  </si>
  <si>
    <t>문자와 숫자가 섞인 2차원 범위</t>
  </si>
  <si>
    <t>범위 인수 두 개</t>
  </si>
  <si>
    <t>빈 셀·문자 섞인 점수 열</t>
  </si>
  <si>
    <t>논리값 상수</t>
  </si>
  <si>
    <t>논리값과 숫자</t>
  </si>
  <si>
    <t>숫자는 15자리 일반 서식</t>
  </si>
  <si>
    <t>순환소수</t>
  </si>
  <si>
    <t>범위 안의 오류 값 전파</t>
  </si>
  <si>
    <t>인수의 오류 전파(#N/A)</t>
  </si>
  <si>
    <t>여러 오류는 앞의 것</t>
  </si>
  <si>
    <t>빈 셀 하나뿐인 범위 (빈 문자열)</t>
  </si>
  <si>
    <t>빈 문자열</t>
  </si>
  <si>
    <t>32,767자는 허용</t>
  </si>
  <si>
    <t>32,768자는 #VALUE!</t>
  </si>
  <si>
    <t>범위 두 개 (각각 펼침)</t>
  </si>
  <si>
    <t>LEFT 한글</t>
  </si>
  <si>
    <t>LEFT 글자 수 생략</t>
  </si>
  <si>
    <t>LEFT 길이 초과</t>
  </si>
  <si>
    <t>LEFT 음수</t>
  </si>
  <si>
    <t>RIGHT</t>
  </si>
  <si>
    <t>RIGHT 글자 수 생략</t>
  </si>
  <si>
    <t>MID</t>
  </si>
  <si>
    <t>MID 시작 위치 초과</t>
  </si>
  <si>
    <t>MID 시작 0</t>
  </si>
  <si>
    <t>MID 한글</t>
  </si>
  <si>
    <t>LEN 빈 문자열</t>
  </si>
  <si>
    <t>LEN 숫자</t>
  </si>
  <si>
    <t>LEN 빈 셀</t>
  </si>
  <si>
    <t>TRIM 앞뒤·중간 공백</t>
  </si>
  <si>
    <t>TRIM은 줄바꿈 없는 공백(160)을 지우지 않음</t>
  </si>
  <si>
    <t>TRIM 후 글자 수</t>
  </si>
  <si>
    <t>TEXTJOIN 정상</t>
  </si>
  <si>
    <t>TEXTJOIN 빈 셀 무시</t>
  </si>
  <si>
    <t>TEXTJOIN 빈 셀 포함</t>
  </si>
  <si>
    <t>TEXTJOIN 범위 두 개</t>
  </si>
  <si>
    <t>TEXTJOIN 빈 문자열 인수 무시</t>
  </si>
  <si>
    <t>TEXTJOIN 빈 문자열 인수 포함</t>
  </si>
  <si>
    <t>TEXTJOIN 2차원 범위</t>
  </si>
  <si>
    <t>TEXTJOIN 구분 기호 생략</t>
  </si>
  <si>
    <t>UPPER·LOWER·PROPER</t>
  </si>
  <si>
    <t>FIND</t>
  </si>
  <si>
    <t>FIND 대소문자 구분</t>
  </si>
  <si>
    <t>SEARCH 대소문자 무시</t>
  </si>
  <si>
    <t>SUBSTITUTE</t>
  </si>
  <si>
    <t>REPLACE</t>
  </si>
  <si>
    <t>VALUE</t>
  </si>
  <si>
    <t>TEXT 천 단위 구분 (부분 지원 확인)</t>
  </si>
  <si>
    <t>TEXT 소수 한 자리</t>
  </si>
  <si>
    <t>TEXT 백분율</t>
  </si>
  <si>
    <t>TEXT 앞자리 0</t>
  </si>
  <si>
    <t>TEXT 날짜</t>
  </si>
  <si>
    <t>TEXT 연도</t>
  </si>
  <si>
    <t>TEXT 월/일</t>
  </si>
  <si>
    <t>TODAY와 NOW의 날짜 부분은 같다 (0)</t>
  </si>
  <si>
    <t>NOW의 시간 부분은 1 미만 (TRUE)</t>
  </si>
  <si>
    <t>TODAY는 숫자</t>
  </si>
  <si>
    <t>TODAY는 2024년 이후</t>
  </si>
  <si>
    <t>TIME</t>
  </si>
  <si>
    <t>TIME 24시간 넘김 (24시간 나머지)</t>
  </si>
  <si>
    <t>TIME 분 넘김</t>
  </si>
  <si>
    <t>HOUR</t>
  </si>
  <si>
    <t>MINUTE</t>
  </si>
  <si>
    <t>SECOND</t>
  </si>
  <si>
    <t>HOUR 소수 일련번호</t>
  </si>
  <si>
    <t>TIMEVALUE</t>
  </si>
  <si>
    <t>날짜+시간 값의 시</t>
  </si>
  <si>
    <t>WEEKDAY 월요일=1</t>
  </si>
  <si>
    <t>WEEKDAY 월요일=0</t>
  </si>
  <si>
    <t>WEEKNUM 일요일 시작</t>
  </si>
  <si>
    <t>WEEKNUM 월요일 시작</t>
  </si>
  <si>
    <t>WEEKNUM 연초</t>
  </si>
  <si>
    <t>ISOWEEKNUM</t>
  </si>
  <si>
    <t>ISOWEEKNUM 전년도 주</t>
  </si>
  <si>
    <t>EDATE 말일: 윤년 2월 29일이어야 함</t>
  </si>
  <si>
    <t>EDATE 말일: 평년 2월 28일</t>
  </si>
  <si>
    <t>EDATE</t>
  </si>
  <si>
    <t>EDATE 음수 개월</t>
  </si>
  <si>
    <t>EDATE 12개월</t>
  </si>
  <si>
    <t>EOMONTH</t>
  </si>
  <si>
    <t>EOMONTH 윤년 2월</t>
  </si>
  <si>
    <t>EOMONTH 평년 2월</t>
  </si>
  <si>
    <t>EOMONTH 음수</t>
  </si>
  <si>
    <t>NETWORKDAYS</t>
  </si>
  <si>
    <t>NETWORKDAYS 거꾸로</t>
  </si>
  <si>
    <t>WORKDAY</t>
  </si>
  <si>
    <t>WORKDAY 음수</t>
  </si>
  <si>
    <t>DAYS</t>
  </si>
  <si>
    <t>DAYS 음수</t>
  </si>
  <si>
    <t>DAYS360</t>
  </si>
  <si>
    <t>YEARFRAC 기본(30/360)</t>
  </si>
  <si>
    <t>YEARFRAC 실제/실제</t>
  </si>
  <si>
    <t>DATEDIF Y</t>
  </si>
  <si>
    <t>DATEDIF M</t>
  </si>
  <si>
    <t>DATEDIF D</t>
  </si>
  <si>
    <t>DATEDIF YM</t>
  </si>
  <si>
    <t>DATEDIF YD</t>
  </si>
  <si>
    <t>DATEDIF MD</t>
  </si>
  <si>
    <t>DATEDIF MD 말일 경계</t>
  </si>
  <si>
    <t>DATEDIF 시작이 끝보다 늦음</t>
  </si>
  <si>
    <t>DATEDIF 잘못된 단위</t>
  </si>
  <si>
    <t>DATEDIF 소문자 단위</t>
  </si>
  <si>
    <t>날짜 + 일수</t>
  </si>
  <si>
    <t>날짜 연산 후 YEAR</t>
  </si>
  <si>
    <t>날짜 차</t>
  </si>
  <si>
    <t>DATEVALUE 슬래시</t>
  </si>
  <si>
    <t>DATEVALUE 잘못된 날짜</t>
  </si>
  <si>
    <t>VLOOKUP 근사 일치</t>
  </si>
  <si>
    <t>VLOOKUP 4번째 인수 생략(근사 일치)</t>
  </si>
  <si>
    <t>VLOOKUP 근사: 경계 바로 아래</t>
  </si>
  <si>
    <t>VLOOKUP 근사: 경계 값</t>
  </si>
  <si>
    <t>VLOOKUP 근사: 첫 값보다 작음</t>
  </si>
  <si>
    <t>VLOOKUP 근사: 마지막 값보다 큼</t>
  </si>
  <si>
    <t>VLOOKUP 정확히 일치 + 와일드카드</t>
  </si>
  <si>
    <t>VLOOKUP 열 번호 0</t>
  </si>
  <si>
    <t>VLOOKUP 없는 값</t>
  </si>
  <si>
    <t>HLOOKUP</t>
  </si>
  <si>
    <t>HLOOKUP 마지막 행</t>
  </si>
  <si>
    <t>MATCH 1 (작거나 같은 최댓값)</t>
  </si>
  <si>
    <t>MATCH 3번째 인수 생략</t>
  </si>
  <si>
    <t>MATCH -1 (내림차순)</t>
  </si>
  <si>
    <t>MATCH 와일드카드</t>
  </si>
  <si>
    <t>MATCH 정확히 일치</t>
  </si>
  <si>
    <t>INDEX 행·열</t>
  </si>
  <si>
    <t>INDEX 한 열 범위</t>
  </si>
  <si>
    <t>INDEX 빈 셀(0)</t>
  </si>
  <si>
    <t>INDEX+MATCH 양방향</t>
  </si>
  <si>
    <t>XLOOKUP 정확히 일치(처음 값)</t>
  </si>
  <si>
    <t>XLOOKUP 못 찾았을 때 대체 값</t>
  </si>
  <si>
    <t>XLOOKUP 못 찾음 #N/A</t>
  </si>
  <si>
    <t>XLOOKUP 작거나 같은 값</t>
  </si>
  <si>
    <t>XLOOKUP 크거나 같은 값</t>
  </si>
  <si>
    <t>XLOOKUP 정확히 일치만 → #N/A</t>
  </si>
  <si>
    <t>XLOOKUP 와일드카드 모드</t>
  </si>
  <si>
    <t>XLOOKUP 와일드카드: 문자 값 반환</t>
  </si>
  <si>
    <t>XLOOKUP 마지막부터 검색</t>
  </si>
  <si>
    <t>XLOOKUP 이진 검색(오름차순)</t>
  </si>
  <si>
    <t>XLOOKUP 가로 방향</t>
  </si>
  <si>
    <t>XLOOKUP 숫자 반환</t>
  </si>
  <si>
    <t>XLOOKUP 일부만 같은 값은 못 찾음</t>
  </si>
  <si>
    <t>XLOOKUP 범위 크기 불일치</t>
  </si>
  <si>
    <t>XLOOKUP 찾는 값이 오류</t>
  </si>
  <si>
    <t>IFNA #N/A 대체</t>
  </si>
  <si>
    <t>IFNA는 #N/A만 대체 → #DIV/0!</t>
  </si>
  <si>
    <t>FILTER 결과의 합 (문자 무시)</t>
  </si>
  <si>
    <t>FILTER 결과 행 수</t>
  </si>
  <si>
    <t>UNIQUE 개수</t>
  </si>
  <si>
    <t>SORT 후 첫 값</t>
  </si>
  <si>
    <t>SORT 내림차순 첫 값</t>
  </si>
  <si>
    <t>SEQUENCE 합</t>
  </si>
  <si>
    <t>FILTER 결과에서 둘째 값</t>
  </si>
  <si>
    <t>SUM 여러 인수</t>
  </si>
  <si>
    <t>SUM 범위와 상수</t>
  </si>
  <si>
    <t>SUM 숫자 문자열 직접 인수</t>
  </si>
  <si>
    <t>SUM 변환 불가 문자열 직접 인수</t>
  </si>
  <si>
    <t>SUM 논리값 직접 인수</t>
  </si>
  <si>
    <t>AVERAGE 변환 불가 문자열</t>
  </si>
  <si>
    <t>AVERAGE 숫자 문자열</t>
  </si>
  <si>
    <t>AVERAGE 빈 셀만 → #DIV/0!</t>
  </si>
  <si>
    <t>MAX 빈 셀만 → 0</t>
  </si>
  <si>
    <t>MIN 빈 셀만 → 0</t>
  </si>
  <si>
    <t>MAX 범위와 상수</t>
  </si>
  <si>
    <t>COUNT 직접 인수</t>
  </si>
  <si>
    <t>COUNT 범위</t>
  </si>
  <si>
    <t>COUNTA 빈 문자열은 셈</t>
  </si>
  <si>
    <t>COUNTA 범위</t>
  </si>
  <si>
    <t>COUNTBLANK</t>
  </si>
  <si>
    <t>COUNTIF 빈 조건</t>
  </si>
  <si>
    <t>COUNTIF 비어 있지 않은 셀</t>
  </si>
  <si>
    <t>COUNTIF 와일드카드 *</t>
  </si>
  <si>
    <t>COUNTIF 비교 조건</t>
  </si>
  <si>
    <t>COUNTIF 숫자 조건</t>
  </si>
  <si>
    <t>COUNTIF &lt;&gt;숫자</t>
  </si>
  <si>
    <t>COUNTIF &lt;&gt;문자</t>
  </si>
  <si>
    <t>COUNTIF 끝 공백은 다른 값</t>
  </si>
  <si>
    <t>COUNTIFS 와일드카드+비교</t>
  </si>
  <si>
    <t>COUNTIFS 비어 있지 않은 셀</t>
  </si>
  <si>
    <t>COUNTIFS 같은 범위 두 조건</t>
  </si>
  <si>
    <t>SUMIF 합계 범위 생략</t>
  </si>
  <si>
    <t>SUMIF &lt;&gt;문자</t>
  </si>
  <si>
    <t>SUMIF 와일드카드</t>
  </si>
  <si>
    <t>SUMIFS</t>
  </si>
  <si>
    <t>SUMIFS 일치 없음 → 0</t>
  </si>
  <si>
    <t>SUMIFS 범위 크기 불일치</t>
  </si>
  <si>
    <t>IF 빈 셀 비교</t>
  </si>
  <si>
    <t>IF 거짓 값 생략</t>
  </si>
  <si>
    <t>IF 숫자 조건 0</t>
  </si>
  <si>
    <t>IF 문자 조건 → #VALUE!</t>
  </si>
  <si>
    <t>IF 오류 조건</t>
  </si>
  <si>
    <t>IF 쓰지 않는 분기의 오류</t>
  </si>
  <si>
    <t>AND 숫자</t>
  </si>
  <si>
    <t>AND 문자 직접 인수 → #VALUE!</t>
  </si>
  <si>
    <t>AND 범위의 문자 무시</t>
  </si>
  <si>
    <t>OR 논리값이 없는 범위 → #VALUE!</t>
  </si>
  <si>
    <t>OR 숫자</t>
  </si>
  <si>
    <t>NOT 숫자</t>
  </si>
  <si>
    <t>IFERROR + VLOOKUP</t>
  </si>
  <si>
    <t>IFERROR 오류가 아님</t>
  </si>
  <si>
    <t>ROUND 2.5</t>
  </si>
  <si>
    <t>ROUND -0.5</t>
  </si>
  <si>
    <t>ROUND 1.005 (이진 표현 경계)</t>
  </si>
  <si>
    <t>ROUND 0.285 (이진 표현 경계)</t>
  </si>
  <si>
    <t>ROUND 음수 자릿수</t>
  </si>
  <si>
    <t>ROUND 1.45</t>
  </si>
  <si>
    <t>ROUNDUP 음수</t>
  </si>
  <si>
    <t>ROUNDUP 작은 초과</t>
  </si>
  <si>
    <t>ROUNDDOWN 음수 자릿수</t>
  </si>
  <si>
    <t>ROUNDDOWN</t>
  </si>
  <si>
    <t>ROUND 문자 → #VALUE!</t>
  </si>
  <si>
    <t>ROUND 자릿수 소수는 버림</t>
  </si>
  <si>
    <t>INT 음수</t>
  </si>
  <si>
    <t>FILTER 한 열</t>
  </si>
  <si>
    <t>FILTER 두 열 원본</t>
  </si>
  <si>
    <t>FILTER 일치 없음+대체 값</t>
  </si>
  <si>
    <t>FILTER 일치 없음</t>
  </si>
  <si>
    <t>FILTER 세 번째 인수(Excel은 if_empty)</t>
  </si>
  <si>
    <t>FILTER 두 조건 곱</t>
  </si>
  <si>
    <t>SORT 오름차순</t>
  </si>
  <si>
    <t>SORT 내림차순</t>
  </si>
  <si>
    <t>SORT 두 열 기준 열 2</t>
  </si>
  <si>
    <t>UNIQUE</t>
  </si>
  <si>
    <t>UNIQUE 한 번만 나온 값</t>
  </si>
  <si>
    <t>UNIQUE 빈 셀 포함</t>
  </si>
  <si>
    <t>SORT(UNIQUE())</t>
  </si>
  <si>
    <t>SEQUENCE 2x3</t>
  </si>
  <si>
    <t>SEQUENCE 시작·증가</t>
  </si>
  <si>
    <t>XLOOKUP 여러 열 반환</t>
  </si>
  <si>
    <t>TRANSPOSE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</si>
</sst>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606</v>
    <v>9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errorType" t="i"/>
    <k n="iftab" t="i"/>
    <k n="subType" t="i"/>
  </s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zoomScaleNormal="100" zoomScaleSheetLayoutView="100" workbookViewId="0"/>
  </sheetViews>
  <sheetFormatPr defaultRowHeight="13.5"/>
  <cols>
    <col min="3" max="3" width="48" customWidth="1"/>
    <col min="4" max="5" width="40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J1" t="s">
        <v>7</v>
      </c>
      <c r="K1" t="s">
        <v>8</v>
      </c>
      <c r="M1" t="s">
        <v>9</v>
      </c>
    </row>
    <row r="2" spans="1:13">
      <c r="A2" t="s">
        <v>10</v>
      </c>
      <c r="B2">
        <v>12</v>
      </c>
      <c r="C2">
        <v>1200</v>
      </c>
      <c r="F2" t="s">
        <v>11</v>
      </c>
      <c r="G2">
        <v>85</v>
      </c>
      <c r="H2" t="s">
        <v>12</v>
      </c>
      <c r="J2">
        <v>0</v>
      </c>
      <c r="K2" t="s">
        <v>13</v>
      </c>
      <c r="M2">
        <v>90</v>
      </c>
    </row>
    <row r="3" spans="1:13">
      <c r="A3" t="s">
        <v>14</v>
      </c>
      <c r="B3">
        <v>7</v>
      </c>
      <c r="C3">
        <v>2500</v>
      </c>
      <c r="D3" t="s">
        <v>15</v>
      </c>
      <c r="F3" t="s">
        <v>16</v>
      </c>
      <c r="G3">
        <v>92</v>
      </c>
      <c r="H3" t="s">
        <v>17</v>
      </c>
      <c r="J3">
        <v>60</v>
      </c>
      <c r="K3" t="s">
        <v>18</v>
      </c>
      <c r="M3">
        <v>80</v>
      </c>
    </row>
    <row r="4" spans="1:13">
      <c r="A4" t="s">
        <v>19</v>
      </c>
      <c r="B4">
        <v>30</v>
      </c>
      <c r="C4">
        <v>400</v>
      </c>
      <c r="F4" t="s">
        <v>20</v>
      </c>
      <c r="G4">
        <v>78</v>
      </c>
      <c r="H4" t="s">
        <v>12</v>
      </c>
      <c r="J4">
        <v>70</v>
      </c>
      <c r="K4" t="s">
        <v>21</v>
      </c>
      <c r="M4">
        <v>70</v>
      </c>
    </row>
    <row r="5" spans="1:13">
      <c r="A5" t="s">
        <v>22</v>
      </c>
      <c r="B5">
        <v>5</v>
      </c>
      <c r="C5">
        <v>3200</v>
      </c>
      <c r="D5" t="s">
        <v>15</v>
      </c>
      <c r="F5" t="s">
        <v>23</v>
      </c>
      <c r="H5" t="s">
        <v>17</v>
      </c>
      <c r="J5">
        <v>80</v>
      </c>
      <c r="K5" t="s">
        <v>24</v>
      </c>
      <c r="M5">
        <v>60</v>
      </c>
    </row>
    <row r="6" spans="1:13">
      <c r="A6" t="s">
        <v>25</v>
      </c>
      <c r="B6">
        <v>18</v>
      </c>
      <c r="C6">
        <v>900</v>
      </c>
      <c r="D6" t="s">
        <v>26</v>
      </c>
      <c r="F6" t="s">
        <v>27</v>
      </c>
      <c r="G6">
        <v>64</v>
      </c>
      <c r="H6" t="s">
        <v>28</v>
      </c>
      <c r="J6">
        <v>90</v>
      </c>
      <c r="K6" t="s">
        <v>29</v>
      </c>
      <c r="M6">
        <v>0</v>
      </c>
    </row>
    <row r="7" spans="1:13">
      <c r="F7" t="s">
        <v>30</v>
      </c>
      <c r="G7" t="s">
        <v>31</v>
      </c>
      <c r="H7" t="s">
        <v>12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zoomScaleNormal="100" zoomScaleSheetLayoutView="100" workbookViewId="0"/>
  </sheetViews>
  <sheetFormatPr defaultRowHeight="13.5"/>
  <cols>
    <col min="3" max="3" width="48" customWidth="1"/>
    <col min="4" max="5" width="40" customWidth="1"/>
  </cols>
  <sheetData>
    <row r="1" spans="1: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>
      <c r="C2">
        <f>1000</f>
        <v>1000</v>
      </c>
      <c r="D2" t="s">
        <v>37</v>
      </c>
      <c r="E2" t="s">
        <v>38</v>
      </c>
    </row>
    <row r="3" spans="1:5">
      <c r="C3">
        <f>1000</f>
        <v>1000</v>
      </c>
      <c r="D3" t="s">
        <v>39</v>
      </c>
      <c r="E3" t="s">
        <v>38</v>
      </c>
    </row>
    <row r="4" spans="1:5">
      <c r="C4">
        <f>0.25</f>
        <v>0.25</v>
      </c>
      <c r="D4" t="s">
        <v>40</v>
      </c>
      <c r="E4" t="s">
        <v>38</v>
      </c>
    </row>
    <row r="5" spans="1:5">
      <c r="C5">
        <f>150</f>
        <v>150</v>
      </c>
      <c r="D5" t="s">
        <v>41</v>
      </c>
      <c r="E5" t="s">
        <v>38</v>
      </c>
    </row>
    <row r="6" spans="1:5">
      <c r="C6">
        <f>150</f>
        <v>150</v>
      </c>
      <c r="D6" t="s">
        <v>42</v>
      </c>
      <c r="E6" t="s">
        <v>38</v>
      </c>
    </row>
    <row r="7" spans="1:5">
      <c r="A7">
        <v>2</v>
      </c>
      <c r="C7">
        <f>A7*1000</f>
        <v>2000</v>
      </c>
      <c r="D7" t="s">
        <v>43</v>
      </c>
      <c r="E7" t="s">
        <v>38</v>
      </c>
    </row>
    <row r="8" spans="1:5">
      <c r="C8">
        <f>1000+0.001</f>
        <v>1000.001</v>
      </c>
      <c r="D8" t="s">
        <v>44</v>
      </c>
      <c r="E8" t="s">
        <v>38</v>
      </c>
    </row>
    <row r="9" spans="1:5">
      <c r="C9" t="str">
        <f>"x"&amp;1000</f>
        <v>x1000</v>
      </c>
      <c r="D9" t="s">
        <v>45</v>
      </c>
      <c r="E9" t="s">
        <v>38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zoomScaleNormal="100" zoomScaleSheetLayoutView="100" workbookViewId="0"/>
  </sheetViews>
  <sheetFormatPr defaultRowHeight="13.5"/>
  <cols>
    <col min="3" max="3" width="48" customWidth="1"/>
    <col min="4" max="5" width="40" customWidth="1"/>
  </cols>
  <sheetData>
    <row r="1" spans="1: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>
      <c r="C2" t="str">
        <f ca="1">C2+1</f>
        <v/>
      </c>
      <c r="D2" t="s">
        <v>46</v>
      </c>
      <c r="E2" t="s">
        <v>47</v>
      </c>
    </row>
    <row r="3" spans="1:5">
      <c r="C3" t="str">
        <f ca="1">C4</f>
        <v/>
      </c>
      <c r="D3" t="s">
        <v>48</v>
      </c>
      <c r="E3" t="s">
        <v>47</v>
      </c>
    </row>
    <row r="4" spans="1:5">
      <c r="C4" t="str">
        <f ca="1">C3+1</f>
        <v/>
      </c>
      <c r="D4" t="s">
        <v>49</v>
      </c>
      <c r="E4" t="s">
        <v>47</v>
      </c>
    </row>
    <row r="5" spans="1:5">
      <c r="C5" t="str">
        <f ca="1">SUM(C5:C6)</f>
        <v/>
      </c>
      <c r="D5" t="s">
        <v>50</v>
      </c>
      <c r="E5" t="s">
        <v>47</v>
      </c>
    </row>
    <row r="6" spans="1:5">
      <c r="C6" t="str">
        <f ca="1">IFERROR(C6,"대체")</f>
        <v/>
      </c>
      <c r="D6" t="s">
        <v>51</v>
      </c>
      <c r="E6" t="s">
        <v>47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zoomScaleNormal="100" zoomScaleSheetLayoutView="100" workbookViewId="0"/>
  </sheetViews>
  <sheetFormatPr defaultRowHeight="13.5"/>
  <cols>
    <col min="3" max="3" width="48" customWidth="1"/>
    <col min="4" max="5" width="40" customWidth="1"/>
  </cols>
  <sheetData>
    <row r="1" spans="1: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>
      <c r="C2" t="str">
        <f>"x"&amp;(0.1+0.2)</f>
        <v>x0.3</v>
      </c>
      <c r="D2" t="s">
        <v>52</v>
      </c>
      <c r="E2" t="s">
        <v>53</v>
      </c>
    </row>
    <row r="3" spans="1:5">
      <c r="C3" t="str">
        <f>CONCATENATE("x",0.1+0.2)</f>
        <v>x0.3</v>
      </c>
      <c r="D3" t="s">
        <v>54</v>
      </c>
      <c r="E3" t="s">
        <v>53</v>
      </c>
    </row>
    <row r="4" spans="1:5">
      <c r="C4" t="str">
        <f>_xlfn.CONCAT("x",0.1+0.2)</f>
        <v>x0.3</v>
      </c>
      <c r="D4" t="s">
        <v>55</v>
      </c>
      <c r="E4" t="s">
        <v>53</v>
      </c>
    </row>
    <row r="5" spans="1:5">
      <c r="C5" t="str">
        <f>"x"&amp;(1/3)</f>
        <v>x0.333333333333333</v>
      </c>
      <c r="D5" t="s">
        <v>56</v>
      </c>
      <c r="E5" t="s">
        <v>53</v>
      </c>
    </row>
    <row r="6" spans="1:5">
      <c r="C6" t="str">
        <f>"x"&amp;(2/3)</f>
        <v>x0.666666666666667</v>
      </c>
      <c r="D6" t="s">
        <v>57</v>
      </c>
      <c r="E6" t="s">
        <v>53</v>
      </c>
    </row>
    <row r="7" spans="1:5">
      <c r="C7" t="str">
        <f>"x"&amp;(1/7)</f>
        <v>x0.142857142857143</v>
      </c>
      <c r="D7" t="s">
        <v>58</v>
      </c>
      <c r="E7" t="s">
        <v>53</v>
      </c>
    </row>
    <row r="8" spans="1:5">
      <c r="C8" t="str">
        <f>"x"&amp;1234567890123450</f>
        <v>x1234567890123450</v>
      </c>
      <c r="D8" t="s">
        <v>59</v>
      </c>
      <c r="E8" t="s">
        <v>53</v>
      </c>
    </row>
    <row r="9" spans="1:5">
      <c r="C9" t="str">
        <f>"x"&amp;123456789012345000</f>
        <v>x123456789012345000</v>
      </c>
      <c r="D9" t="s">
        <v>60</v>
      </c>
      <c r="E9" t="s">
        <v>53</v>
      </c>
    </row>
    <row r="10" spans="1:5">
      <c r="C10" t="str">
        <f>"x"&amp;(10^15)</f>
        <v>x1000000000000000</v>
      </c>
      <c r="D10" t="s">
        <v>61</v>
      </c>
      <c r="E10" t="s">
        <v>53</v>
      </c>
    </row>
    <row r="11" spans="1:5">
      <c r="C11" t="str">
        <f>"x"&amp;(10^20)</f>
        <v>x1E+20</v>
      </c>
      <c r="D11" t="s">
        <v>62</v>
      </c>
      <c r="E11" t="s">
        <v>53</v>
      </c>
    </row>
    <row r="12" spans="1:5">
      <c r="C12" t="str">
        <f>"x"&amp;(1/10000000)</f>
        <v>x0.0000001</v>
      </c>
      <c r="D12" t="s">
        <v>63</v>
      </c>
      <c r="E12" t="s">
        <v>53</v>
      </c>
    </row>
    <row r="13" spans="1:5">
      <c r="C13" t="str">
        <f>"x"&amp;0.000123</f>
        <v>x0.000123</v>
      </c>
      <c r="D13" t="s">
        <v>64</v>
      </c>
      <c r="E13" t="s">
        <v>53</v>
      </c>
    </row>
    <row r="14" spans="1:5">
      <c r="C14" t="str">
        <f>"x"&amp;-0.5</f>
        <v>x-0.5</v>
      </c>
      <c r="D14" t="s">
        <v>65</v>
      </c>
      <c r="E14" t="s">
        <v>53</v>
      </c>
    </row>
    <row r="15" spans="1:5">
      <c r="C15">
        <f>LEN(0.1+0.2)</f>
        <v>3</v>
      </c>
      <c r="D15" t="s">
        <v>66</v>
      </c>
      <c r="E15" t="s">
        <v>53</v>
      </c>
    </row>
    <row r="16" spans="1:5">
      <c r="C16">
        <f>LEN(1/3)</f>
        <v>17</v>
      </c>
      <c r="D16" t="s">
        <v>67</v>
      </c>
      <c r="E16" t="s">
        <v>53</v>
      </c>
    </row>
    <row r="17" spans="3:5">
      <c r="C17" t="str">
        <f>LEFT(1/3,5)</f>
        <v>0.333</v>
      </c>
      <c r="D17" t="s">
        <v>68</v>
      </c>
      <c r="E17" t="s">
        <v>53</v>
      </c>
    </row>
    <row r="18" spans="3:5">
      <c r="C18" t="b">
        <f>(0.1+0.2)=0.3</f>
        <v>1</v>
      </c>
      <c r="D18" t="s">
        <v>69</v>
      </c>
      <c r="E18" t="s">
        <v>53</v>
      </c>
    </row>
    <row r="19" spans="3:5">
      <c r="C19" t="str">
        <f>_xlfn.TEXTJOIN(",",TRUE,0.1+0.2,1/3)</f>
        <v>0.3,0.333333333333333</v>
      </c>
      <c r="D19" t="s">
        <v>70</v>
      </c>
      <c r="E19" t="s">
        <v>53</v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zoomScaleNormal="100" zoomScaleSheetLayoutView="100" workbookViewId="0"/>
  </sheetViews>
  <sheetFormatPr defaultRowHeight="13.5"/>
  <cols>
    <col min="3" max="3" width="48" customWidth="1"/>
    <col min="4" max="5" width="40" customWidth="1"/>
  </cols>
  <sheetData>
    <row r="1" spans="1: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>
      <c r="C2">
        <f>SUM(INDEX(Data!B2:C6,0,2))</f>
        <v>8200</v>
      </c>
      <c r="D2" t="s">
        <v>71</v>
      </c>
      <c r="E2" t="s">
        <v>72</v>
      </c>
    </row>
    <row r="3" spans="1:5">
      <c r="C3">
        <f>SUM(INDEX(Data!B2:C6,2,0))</f>
        <v>2507</v>
      </c>
      <c r="D3" t="s">
        <v>73</v>
      </c>
      <c r="E3" t="s">
        <v>72</v>
      </c>
    </row>
    <row r="4" spans="1:5">
      <c r="C4">
        <f>ROWS(INDEX(Data!A2:C6,0,2))</f>
        <v>5</v>
      </c>
      <c r="D4" t="s">
        <v>74</v>
      </c>
      <c r="E4" t="s">
        <v>72</v>
      </c>
    </row>
    <row r="5" spans="1:5">
      <c r="C5">
        <f>COLUMNS(INDEX(Data!A2:C6,2,0))</f>
        <v>3</v>
      </c>
      <c r="D5" t="s">
        <v>75</v>
      </c>
      <c r="E5" t="s">
        <v>72</v>
      </c>
    </row>
    <row r="6" spans="1:5">
      <c r="C6">
        <f>MAX(INDEX(Data!B2:C6,0,1))</f>
        <v>30</v>
      </c>
      <c r="D6" t="s">
        <v>76</v>
      </c>
      <c r="E6" t="s">
        <v>72</v>
      </c>
    </row>
    <row r="7" spans="1:5">
      <c r="C7">
        <f>SUM(INDEX(Data!B2:B6,0))</f>
        <v>72</v>
      </c>
      <c r="D7" t="s">
        <v>77</v>
      </c>
      <c r="E7" t="s">
        <v>72</v>
      </c>
    </row>
    <row r="8" spans="1:5">
      <c r="C8">
        <f>SUM(INDEX(Data!B2:C6,0,0))</f>
        <v>8272</v>
      </c>
      <c r="D8" t="s">
        <v>78</v>
      </c>
      <c r="E8" t="s">
        <v>72</v>
      </c>
    </row>
    <row r="9" spans="1:5">
      <c r="C9" t="e">
        <f>INDEX(Data!A2:A6,-1)</f>
        <v>#VALUE!</v>
      </c>
      <c r="D9" t="s">
        <v>79</v>
      </c>
      <c r="E9" t="s">
        <v>72</v>
      </c>
    </row>
    <row r="10" spans="1:5">
      <c r="C10" t="e">
        <f>INDEX(Data!A2:C6,2,4)</f>
        <v>#REF!</v>
      </c>
      <c r="D10" t="s">
        <v>80</v>
      </c>
      <c r="E10" t="s">
        <v>72</v>
      </c>
    </row>
    <row r="11" spans="1:5">
      <c r="C11" t="e">
        <f>INDEX(Data!A2:C6,6,1)</f>
        <v>#REF!</v>
      </c>
      <c r="D11" t="s">
        <v>81</v>
      </c>
      <c r="E11" t="s">
        <v>72</v>
      </c>
    </row>
    <row r="12" spans="1:5">
      <c r="C12" t="e">
        <f>INDEX(Data!A2:C6,2,-1)</f>
        <v>#VALUE!</v>
      </c>
      <c r="D12" t="s">
        <v>82</v>
      </c>
      <c r="E12" t="s">
        <v>72</v>
      </c>
    </row>
    <row r="13" spans="1:5">
      <c r="C13" t="e">
        <f>INDEX(Data!A2:C6,2)</f>
        <v>#REF!</v>
      </c>
      <c r="D13" t="s">
        <v>83</v>
      </c>
      <c r="E13" t="s">
        <v>72</v>
      </c>
    </row>
    <row r="14" spans="1:5">
      <c r="C14">
        <f>INDEX(Data!A2:C2,2)</f>
        <v>12</v>
      </c>
      <c r="D14" t="s">
        <v>84</v>
      </c>
      <c r="E14" t="s">
        <v>72</v>
      </c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zoomScaleNormal="100" zoomScaleSheetLayoutView="100" workbookViewId="0"/>
  </sheetViews>
  <sheetFormatPr defaultRowHeight="13.5"/>
  <cols>
    <col min="3" max="3" width="48" customWidth="1"/>
    <col min="4" max="5" width="40" customWidth="1"/>
  </cols>
  <sheetData>
    <row r="1" spans="1: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>
      <c r="C2">
        <f>AVERAGEIFS(Data!G2:G7,Data!H2:H7,"영업")</f>
        <v>81.5</v>
      </c>
      <c r="D2" t="s">
        <v>85</v>
      </c>
      <c r="E2" t="s">
        <v>72</v>
      </c>
    </row>
    <row r="3" spans="1:5">
      <c r="C3">
        <f>RANK(Data!G3,Data!G2:G7)</f>
        <v>1</v>
      </c>
      <c r="D3" t="s">
        <v>86</v>
      </c>
      <c r="E3" t="s">
        <v>72</v>
      </c>
    </row>
    <row r="4" spans="1:5">
      <c r="C4">
        <f>RANK(Data!G4,Data!G2:G7,1)</f>
        <v>2</v>
      </c>
      <c r="D4" t="s">
        <v>87</v>
      </c>
      <c r="E4" t="s">
        <v>72</v>
      </c>
    </row>
    <row r="5" spans="1:5">
      <c r="C5">
        <f>_xlfn.RANK.EQ(Data!G2,Data!G2:G7)</f>
        <v>2</v>
      </c>
      <c r="D5" t="s">
        <v>88</v>
      </c>
      <c r="E5" t="s">
        <v>72</v>
      </c>
    </row>
    <row r="6" spans="1:5">
      <c r="C6">
        <f>_xlfn.XMATCH("박도윤",Data!F2:F7)</f>
        <v>3</v>
      </c>
      <c r="D6" t="s">
        <v>89</v>
      </c>
      <c r="E6" t="s">
        <v>72</v>
      </c>
    </row>
    <row r="7" spans="1:5">
      <c r="C7">
        <f>_xlfn.XMATCH(80,Data!J2:J6,-1)</f>
        <v>4</v>
      </c>
      <c r="D7" t="s">
        <v>90</v>
      </c>
      <c r="E7" t="s">
        <v>72</v>
      </c>
    </row>
    <row r="8" spans="1:5">
      <c r="C8" t="str">
        <f>LOOKUP(85,Data!J2:J6,Data!K2:K6)</f>
        <v>B</v>
      </c>
      <c r="D8" t="s">
        <v>91</v>
      </c>
      <c r="E8" t="s">
        <v>72</v>
      </c>
    </row>
    <row r="9" spans="1:5">
      <c r="C9" t="str">
        <f>INDEX(_xlfn.SORTBY(Data!F2:F7,Data!G2:G7,-1),1)</f>
        <v>한지아</v>
      </c>
      <c r="D9" t="s">
        <v>92</v>
      </c>
      <c r="E9" t="s">
        <v>72</v>
      </c>
    </row>
    <row r="10" spans="1:5">
      <c r="C10">
        <f>_xlfn.MODE.SNGL(Data!B2:B6,12)</f>
        <v>12</v>
      </c>
      <c r="D10" t="s">
        <v>93</v>
      </c>
      <c r="E10" t="s">
        <v>72</v>
      </c>
    </row>
    <row r="11" spans="1:5">
      <c r="C11">
        <f>MODE(Data!B2:B6,12)</f>
        <v>12</v>
      </c>
      <c r="D11" t="s">
        <v>94</v>
      </c>
      <c r="E11" t="s">
        <v>72</v>
      </c>
    </row>
    <row r="12" spans="1:5">
      <c r="C12">
        <f ca="1">OFFSET(Data!A1,1,1)</f>
        <v>12</v>
      </c>
      <c r="D12" t="s">
        <v>95</v>
      </c>
      <c r="E12" t="s">
        <v>72</v>
      </c>
    </row>
    <row r="13" spans="1:5">
      <c r="C13">
        <f ca="1">INDIRECT("Data!B2")</f>
        <v>12</v>
      </c>
      <c r="D13" t="s">
        <v>96</v>
      </c>
      <c r="E13" t="s">
        <v>72</v>
      </c>
    </row>
    <row r="14" spans="1:5">
      <c r="C14">
        <f>_xlfn.NUMBERVALUE("1.234,5",",",".")</f>
        <v>1234.5</v>
      </c>
      <c r="D14" t="s">
        <v>97</v>
      </c>
      <c r="E14" t="s">
        <v>72</v>
      </c>
    </row>
    <row r="15" spans="1:5">
      <c r="C15" t="str">
        <f>_xlfn.TEXTBEFORE("a-b-c","-")</f>
        <v>a</v>
      </c>
      <c r="D15" t="s">
        <v>98</v>
      </c>
      <c r="E15" t="s">
        <v>72</v>
      </c>
    </row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1"/>
  <sheetViews>
    <sheetView zoomScaleNormal="100" zoomScaleSheetLayoutView="100" workbookViewId="0"/>
  </sheetViews>
  <sheetFormatPr defaultRowHeight="13.5"/>
  <cols>
    <col min="3" max="3" width="48" customWidth="1"/>
    <col min="4" max="5" width="40" customWidth="1"/>
  </cols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99</v>
      </c>
      <c r="G1" t="s">
        <v>53</v>
      </c>
      <c r="J1" t="s">
        <v>100</v>
      </c>
    </row>
    <row r="2" spans="1:10">
      <c r="C2" t="str">
        <f>_xlfn.CONCAT(Data!A2:A6)</f>
        <v>사과배귤포도감</v>
      </c>
      <c r="D2" t="s">
        <v>101</v>
      </c>
      <c r="E2" t="s">
        <v>53</v>
      </c>
      <c r="F2" t="s">
        <v>102</v>
      </c>
      <c r="G2">
        <v>1.5</v>
      </c>
      <c r="J2" t="e">
        <f>1/0</f>
        <v>#DIV/0!</v>
      </c>
    </row>
    <row r="3" spans="1:10">
      <c r="C3" t="str">
        <f>_xlfn.CONCAT(Data!B2:C3)</f>
        <v>12120072500</v>
      </c>
      <c r="D3" t="s">
        <v>103</v>
      </c>
      <c r="E3" t="s">
        <v>53</v>
      </c>
      <c r="G3" t="b">
        <v>1</v>
      </c>
    </row>
    <row r="4" spans="1:10">
      <c r="C4" t="str">
        <f>_xlfn.CONCAT(Data!A2:A3,"-",Data!D2:D3)</f>
        <v>사과배-할인</v>
      </c>
      <c r="D4" t="s">
        <v>104</v>
      </c>
      <c r="E4" t="s">
        <v>53</v>
      </c>
      <c r="F4" t="s">
        <v>105</v>
      </c>
      <c r="G4">
        <v>0.30000000000000004</v>
      </c>
    </row>
    <row r="5" spans="1:10">
      <c r="C5" t="str">
        <f>_xlfn.CONCAT(F2:F4)</f>
        <v>가나</v>
      </c>
      <c r="D5" t="s">
        <v>106</v>
      </c>
      <c r="E5" t="s">
        <v>53</v>
      </c>
    </row>
    <row r="6" spans="1:10">
      <c r="C6" t="str">
        <f>_xlfn.CONCAT(G2:G4)</f>
        <v>1.5TRUE0.3</v>
      </c>
      <c r="D6" t="s">
        <v>107</v>
      </c>
      <c r="E6" t="s">
        <v>53</v>
      </c>
    </row>
    <row r="7" spans="1:10">
      <c r="C7" t="str">
        <f>_xlfn.CONCAT(F2:G4)</f>
        <v>가1.5TRUE나0.3</v>
      </c>
      <c r="D7" t="s">
        <v>108</v>
      </c>
      <c r="E7" t="s">
        <v>53</v>
      </c>
    </row>
    <row r="8" spans="1:10">
      <c r="C8" t="str">
        <f>_xlfn.CONCAT(Data!A2:A3,Data!A2:A3)</f>
        <v>사과배사과배</v>
      </c>
      <c r="D8" t="s">
        <v>109</v>
      </c>
      <c r="E8" t="s">
        <v>53</v>
      </c>
    </row>
    <row r="9" spans="1:10">
      <c r="C9" t="str">
        <f>_xlfn.CONCAT(Data!G2:G7)</f>
        <v>85927864결석</v>
      </c>
      <c r="D9" t="s">
        <v>110</v>
      </c>
      <c r="E9" t="s">
        <v>53</v>
      </c>
    </row>
    <row r="10" spans="1:10">
      <c r="C10" t="str">
        <f>_xlfn.CONCAT(TRUE,FALSE)</f>
        <v>TRUEFALSE</v>
      </c>
      <c r="D10" t="s">
        <v>111</v>
      </c>
      <c r="E10" t="s">
        <v>53</v>
      </c>
    </row>
    <row r="11" spans="1:10">
      <c r="C11" t="str">
        <f>_xlfn.CONCAT(TRUE,1.5)</f>
        <v>TRUE1.5</v>
      </c>
      <c r="D11" t="s">
        <v>112</v>
      </c>
      <c r="E11" t="s">
        <v>53</v>
      </c>
    </row>
    <row r="12" spans="1:10">
      <c r="C12" t="str">
        <f>_xlfn.CONCAT(0.1+0.2)</f>
        <v>0.3</v>
      </c>
      <c r="D12" t="s">
        <v>113</v>
      </c>
      <c r="E12" t="s">
        <v>53</v>
      </c>
    </row>
    <row r="13" spans="1:10">
      <c r="C13" t="str">
        <f>_xlfn.CONCAT(1/3)</f>
        <v>0.333333333333333</v>
      </c>
      <c r="D13" t="s">
        <v>114</v>
      </c>
      <c r="E13" t="s">
        <v>53</v>
      </c>
    </row>
    <row r="14" spans="1:10">
      <c r="C14" t="e">
        <f>_xlfn.CONCAT(J2:J3)</f>
        <v>#DIV/0!</v>
      </c>
      <c r="D14" t="s">
        <v>115</v>
      </c>
      <c r="E14" t="s">
        <v>53</v>
      </c>
    </row>
    <row r="15" spans="1:10">
      <c r="C15" t="e">
        <f>_xlfn.CONCAT("a",NA())</f>
        <v>#N/A</v>
      </c>
      <c r="D15" t="s">
        <v>116</v>
      </c>
      <c r="E15" t="s">
        <v>53</v>
      </c>
    </row>
    <row r="16" spans="1:10">
      <c r="C16" t="e">
        <f>_xlfn.CONCAT("a",1/0,NA())</f>
        <v>#DIV/0!</v>
      </c>
      <c r="D16" t="s">
        <v>117</v>
      </c>
      <c r="E16" t="s">
        <v>53</v>
      </c>
    </row>
    <row r="17" spans="3:5">
      <c r="C17" t="str">
        <f>_xlfn.CONCAT(Data!D2:D2)</f>
        <v/>
      </c>
      <c r="D17" t="s">
        <v>118</v>
      </c>
      <c r="E17" t="s">
        <v>53</v>
      </c>
    </row>
    <row r="18" spans="3:5">
      <c r="C18" t="str">
        <f>_xlfn.CONCAT("")</f>
        <v/>
      </c>
      <c r="D18" t="s">
        <v>119</v>
      </c>
      <c r="E18" t="s">
        <v>53</v>
      </c>
    </row>
    <row r="19" spans="3:5">
      <c r="C19">
        <f>LEN(_xlfn.CONCAT(REPT("a",32767)))</f>
        <v>32767</v>
      </c>
      <c r="D19" t="s">
        <v>120</v>
      </c>
      <c r="E19" t="s">
        <v>53</v>
      </c>
    </row>
    <row r="20" spans="3:5">
      <c r="C20" t="e" vm="1">
        <f>_xlfn.CONCAT(REPT("a",32767),"b")</f>
        <v>#VALUE!</v>
      </c>
      <c r="D20" t="s">
        <v>121</v>
      </c>
      <c r="E20" t="s">
        <v>53</v>
      </c>
    </row>
    <row r="21" spans="3:5">
      <c r="C21" t="str">
        <f>_xlfn.CONCAT(F2:F4,G2:G4)</f>
        <v>가나1.5TRUE0.3</v>
      </c>
      <c r="D21" t="s">
        <v>122</v>
      </c>
      <c r="E21" t="s">
        <v>53</v>
      </c>
    </row>
  </sheetData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9"/>
  <sheetViews>
    <sheetView zoomScaleNormal="100" zoomScaleSheetLayoutView="100" workbookViewId="0"/>
  </sheetViews>
  <sheetFormatPr defaultRowHeight="13.5"/>
  <cols>
    <col min="3" max="3" width="48" customWidth="1"/>
    <col min="4" max="5" width="40" customWidth="1"/>
  </cols>
  <sheetData>
    <row r="1" spans="1: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>
      <c r="C2" t="str">
        <f>LEFT(Data!F2,1)</f>
        <v>김</v>
      </c>
      <c r="D2" t="s">
        <v>123</v>
      </c>
      <c r="E2" t="s">
        <v>53</v>
      </c>
    </row>
    <row r="3" spans="1:5">
      <c r="C3" t="str">
        <f>LEFT("abc")</f>
        <v>a</v>
      </c>
      <c r="D3" t="s">
        <v>124</v>
      </c>
      <c r="E3" t="s">
        <v>53</v>
      </c>
    </row>
    <row r="4" spans="1:5">
      <c r="C4" t="str">
        <f>LEFT("abc",10)</f>
        <v>abc</v>
      </c>
      <c r="D4" t="s">
        <v>125</v>
      </c>
      <c r="E4" t="s">
        <v>53</v>
      </c>
    </row>
    <row r="5" spans="1:5">
      <c r="C5" t="e">
        <f>LEFT("abc",-1)</f>
        <v>#VALUE!</v>
      </c>
      <c r="D5" t="s">
        <v>126</v>
      </c>
      <c r="E5" t="s">
        <v>53</v>
      </c>
    </row>
    <row r="6" spans="1:5">
      <c r="C6" t="str">
        <f>RIGHT("abcdef",2)</f>
        <v>ef</v>
      </c>
      <c r="D6" t="s">
        <v>127</v>
      </c>
      <c r="E6" t="s">
        <v>53</v>
      </c>
    </row>
    <row r="7" spans="1:5">
      <c r="C7" t="str">
        <f>RIGHT("abc")</f>
        <v>c</v>
      </c>
      <c r="D7" t="s">
        <v>128</v>
      </c>
      <c r="E7" t="s">
        <v>53</v>
      </c>
    </row>
    <row r="8" spans="1:5">
      <c r="C8" t="str">
        <f>MID("abcdef",2,3)</f>
        <v>bcd</v>
      </c>
      <c r="D8" t="s">
        <v>129</v>
      </c>
      <c r="E8" t="s">
        <v>53</v>
      </c>
    </row>
    <row r="9" spans="1:5">
      <c r="C9" t="str">
        <f>MID("abc",5,2)</f>
        <v/>
      </c>
      <c r="D9" t="s">
        <v>130</v>
      </c>
      <c r="E9" t="s">
        <v>53</v>
      </c>
    </row>
    <row r="10" spans="1:5">
      <c r="C10" t="e">
        <f>MID("abcdef",0,2)</f>
        <v>#VALUE!</v>
      </c>
      <c r="D10" t="s">
        <v>131</v>
      </c>
      <c r="E10" t="s">
        <v>53</v>
      </c>
    </row>
    <row r="11" spans="1:5">
      <c r="C11" t="str">
        <f>MID(Data!F2,2,2)</f>
        <v>민준</v>
      </c>
      <c r="D11" t="s">
        <v>132</v>
      </c>
      <c r="E11" t="s">
        <v>53</v>
      </c>
    </row>
    <row r="12" spans="1:5">
      <c r="C12">
        <f>LEN("")</f>
        <v>0</v>
      </c>
      <c r="D12" t="s">
        <v>133</v>
      </c>
      <c r="E12" t="s">
        <v>53</v>
      </c>
    </row>
    <row r="13" spans="1:5">
      <c r="C13">
        <f>LEN(123.5)</f>
        <v>5</v>
      </c>
      <c r="D13" t="s">
        <v>134</v>
      </c>
      <c r="E13" t="s">
        <v>53</v>
      </c>
    </row>
    <row r="14" spans="1:5">
      <c r="C14">
        <f>LEN(Data!G5)</f>
        <v>0</v>
      </c>
      <c r="D14" t="s">
        <v>135</v>
      </c>
      <c r="E14" t="s">
        <v>53</v>
      </c>
    </row>
    <row r="15" spans="1:5">
      <c r="C15" t="str">
        <f>TRIM("  a   b  ")</f>
        <v>a b</v>
      </c>
      <c r="D15" t="s">
        <v>136</v>
      </c>
      <c r="E15" t="s">
        <v>53</v>
      </c>
    </row>
    <row r="16" spans="1:5">
      <c r="C16" t="str">
        <f>TRIM(CHAR(160)&amp;"a")</f>
        <v>a</v>
      </c>
      <c r="D16" t="s">
        <v>137</v>
      </c>
      <c r="E16" t="s">
        <v>53</v>
      </c>
    </row>
    <row r="17" spans="3:5">
      <c r="C17">
        <f>LEN(TRIM("  a   b  "))</f>
        <v>3</v>
      </c>
      <c r="D17" t="s">
        <v>138</v>
      </c>
      <c r="E17" t="s">
        <v>53</v>
      </c>
    </row>
    <row r="18" spans="3:5">
      <c r="C18" t="str">
        <f>_xlfn.TEXTJOIN(",",TRUE,Data!F2:F4)</f>
        <v>김민준,이서연,박도윤</v>
      </c>
      <c r="D18" t="s">
        <v>139</v>
      </c>
      <c r="E18" t="s">
        <v>53</v>
      </c>
    </row>
    <row r="19" spans="3:5">
      <c r="C19" t="str">
        <f>_xlfn.TEXTJOIN(",",TRUE,Data!G4:G6)</f>
        <v>78,64</v>
      </c>
      <c r="D19" t="s">
        <v>140</v>
      </c>
      <c r="E19" t="s">
        <v>53</v>
      </c>
    </row>
    <row r="20" spans="3:5">
      <c r="C20" t="str">
        <f>_xlfn.TEXTJOIN(",",FALSE,Data!G4:G6)</f>
        <v>78,,64</v>
      </c>
      <c r="D20" t="s">
        <v>141</v>
      </c>
      <c r="E20" t="s">
        <v>53</v>
      </c>
    </row>
    <row r="21" spans="3:5">
      <c r="C21" t="str">
        <f>_xlfn.TEXTJOIN("-",TRUE,Data!F2:F3,Data!H2:H3)</f>
        <v>김민준-이서연-영업-개발</v>
      </c>
      <c r="D21" t="s">
        <v>142</v>
      </c>
      <c r="E21" t="s">
        <v>53</v>
      </c>
    </row>
    <row r="22" spans="3:5">
      <c r="C22" t="str">
        <f>_xlfn.TEXTJOIN(", ",TRUE,"a","","b")</f>
        <v>a, b</v>
      </c>
      <c r="D22" t="s">
        <v>143</v>
      </c>
      <c r="E22" t="s">
        <v>53</v>
      </c>
    </row>
    <row r="23" spans="3:5">
      <c r="C23" t="str">
        <f>_xlfn.TEXTJOIN(",",FALSE,"a","","b")</f>
        <v>a,,b</v>
      </c>
      <c r="D23" t="s">
        <v>144</v>
      </c>
      <c r="E23" t="s">
        <v>53</v>
      </c>
    </row>
    <row r="24" spans="3:5">
      <c r="C24" t="str">
        <f>_xlfn.TEXTJOIN(",",TRUE,Data!A2:C3)</f>
        <v>사과,12,1200,배,7,2500</v>
      </c>
      <c r="D24" t="s">
        <v>145</v>
      </c>
      <c r="E24" t="s">
        <v>53</v>
      </c>
    </row>
    <row r="25" spans="3:5">
      <c r="C25" t="str">
        <f>_xlfn.TEXTJOIN(,TRUE,"a","b")</f>
        <v>ab</v>
      </c>
      <c r="D25" t="s">
        <v>146</v>
      </c>
      <c r="E25" t="s">
        <v>53</v>
      </c>
    </row>
    <row r="26" spans="3:5">
      <c r="C26" t="str">
        <f>UPPER("hello")&amp;LOWER("WORLD")&amp;PROPER("hello world")</f>
        <v>HELLOworldHello World</v>
      </c>
      <c r="D26" t="s">
        <v>147</v>
      </c>
      <c r="E26" t="s">
        <v>53</v>
      </c>
    </row>
    <row r="27" spans="3:5">
      <c r="C27">
        <f>FIND("b","abcb")</f>
        <v>2</v>
      </c>
      <c r="D27" t="s">
        <v>148</v>
      </c>
      <c r="E27" t="s">
        <v>53</v>
      </c>
    </row>
    <row r="28" spans="3:5">
      <c r="C28" t="e">
        <f>FIND("B","abc")</f>
        <v>#VALUE!</v>
      </c>
      <c r="D28" t="s">
        <v>149</v>
      </c>
      <c r="E28" t="s">
        <v>53</v>
      </c>
    </row>
    <row r="29" spans="3:5">
      <c r="C29">
        <f>SEARCH("B","abc")</f>
        <v>2</v>
      </c>
      <c r="D29" t="s">
        <v>150</v>
      </c>
      <c r="E29" t="s">
        <v>53</v>
      </c>
    </row>
    <row r="30" spans="3:5">
      <c r="C30" t="str">
        <f>SUBSTITUTE("a-b-c","-","+")</f>
        <v>a+b+c</v>
      </c>
      <c r="D30" t="s">
        <v>151</v>
      </c>
      <c r="E30" t="s">
        <v>53</v>
      </c>
    </row>
    <row r="31" spans="3:5">
      <c r="C31" t="str">
        <f>REPLACE("abcdef",2,3,"X")</f>
        <v>aXef</v>
      </c>
      <c r="D31" t="s">
        <v>152</v>
      </c>
      <c r="E31" t="s">
        <v>53</v>
      </c>
    </row>
    <row r="32" spans="3:5">
      <c r="C32">
        <f>VALUE("123")+1</f>
        <v>124</v>
      </c>
      <c r="D32" t="s">
        <v>153</v>
      </c>
      <c r="E32" t="s">
        <v>53</v>
      </c>
    </row>
    <row r="33" spans="3:5">
      <c r="C33" t="str">
        <f>TEXT(1234.5,"#,##0.00")</f>
        <v>1,234.50</v>
      </c>
      <c r="D33" t="s">
        <v>154</v>
      </c>
      <c r="E33" t="s">
        <v>53</v>
      </c>
    </row>
    <row r="34" spans="3:5">
      <c r="C34" t="str">
        <f>TEXT(1234.5,"0.0")</f>
        <v>1234.5</v>
      </c>
      <c r="D34" t="s">
        <v>155</v>
      </c>
      <c r="E34" t="s">
        <v>53</v>
      </c>
    </row>
    <row r="35" spans="3:5">
      <c r="C35" t="str">
        <f>TEXT(0.256,"0%")</f>
        <v>26%</v>
      </c>
      <c r="D35" t="s">
        <v>156</v>
      </c>
      <c r="E35" t="s">
        <v>53</v>
      </c>
    </row>
    <row r="36" spans="3:5">
      <c r="C36" t="str">
        <f>TEXT(5,"000")</f>
        <v>005</v>
      </c>
      <c r="D36" t="s">
        <v>157</v>
      </c>
      <c r="E36" t="s">
        <v>53</v>
      </c>
    </row>
    <row r="37" spans="3:5">
      <c r="C37" t="str">
        <f>TEXT(DATE(2024,3,15),"yyyy-mm-dd")</f>
        <v>2024-03-15</v>
      </c>
      <c r="D37" t="s">
        <v>158</v>
      </c>
      <c r="E37" t="s">
        <v>53</v>
      </c>
    </row>
    <row r="38" spans="3:5">
      <c r="C38" t="str">
        <f>TEXT(DATE(2024,3,15),"yyyy")</f>
        <v>2024</v>
      </c>
      <c r="D38" t="s">
        <v>159</v>
      </c>
      <c r="E38" t="s">
        <v>53</v>
      </c>
    </row>
    <row r="39" spans="3:5">
      <c r="C39" t="str">
        <f>TEXT(DATE(2024,3,15),"m/d")</f>
        <v>3/15</v>
      </c>
      <c r="D39" t="s">
        <v>160</v>
      </c>
      <c r="E39" t="s">
        <v>53</v>
      </c>
    </row>
  </sheetData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4"/>
  <sheetViews>
    <sheetView zoomScaleNormal="100" zoomScaleSheetLayoutView="100" workbookViewId="0"/>
  </sheetViews>
  <sheetFormatPr defaultRowHeight="13.5"/>
  <cols>
    <col min="3" max="3" width="48" customWidth="1"/>
    <col min="4" max="5" width="40" customWidth="1"/>
  </cols>
  <sheetData>
    <row r="1" spans="1: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>
      <c r="C2">
        <f ca="1">TODAY()-INT(NOW())</f>
        <v>0</v>
      </c>
      <c r="D2" t="s">
        <v>161</v>
      </c>
      <c r="E2" t="s">
        <v>53</v>
      </c>
    </row>
    <row r="3" spans="1:5">
      <c r="C3" t="b">
        <f ca="1">NOW()-TODAY()&lt;1</f>
        <v>1</v>
      </c>
      <c r="D3" t="s">
        <v>162</v>
      </c>
      <c r="E3" t="s">
        <v>53</v>
      </c>
    </row>
    <row r="4" spans="1:5">
      <c r="C4" t="b">
        <f ca="1">ISNUMBER(TODAY())</f>
        <v>1</v>
      </c>
      <c r="D4" t="s">
        <v>163</v>
      </c>
      <c r="E4" t="s">
        <v>53</v>
      </c>
    </row>
    <row r="5" spans="1:5">
      <c r="C5" t="b">
        <f ca="1">TODAY()&gt;DATE(2024,1,1)</f>
        <v>1</v>
      </c>
      <c r="D5" t="s">
        <v>164</v>
      </c>
      <c r="E5" t="s">
        <v>53</v>
      </c>
    </row>
    <row r="6" spans="1:5">
      <c r="C6">
        <f>TIME(13,30,0)</f>
        <v>0.5625</v>
      </c>
      <c r="D6" t="s">
        <v>165</v>
      </c>
      <c r="E6" t="s">
        <v>53</v>
      </c>
    </row>
    <row r="7" spans="1:5">
      <c r="C7">
        <f>TIME(25,0,0)</f>
        <v>4.1666666666666741E-2</v>
      </c>
      <c r="D7" t="s">
        <v>166</v>
      </c>
      <c r="E7" t="s">
        <v>53</v>
      </c>
    </row>
    <row r="8" spans="1:5">
      <c r="C8">
        <f>TIME(0,90,0)</f>
        <v>6.25E-2</v>
      </c>
      <c r="D8" t="s">
        <v>167</v>
      </c>
      <c r="E8" t="s">
        <v>53</v>
      </c>
    </row>
    <row r="9" spans="1:5">
      <c r="C9">
        <f>HOUR(TIME(13,30,45))</f>
        <v>13</v>
      </c>
      <c r="D9" t="s">
        <v>168</v>
      </c>
      <c r="E9" t="s">
        <v>53</v>
      </c>
    </row>
    <row r="10" spans="1:5">
      <c r="C10">
        <f>MINUTE(TIME(13,30,45))</f>
        <v>30</v>
      </c>
      <c r="D10" t="s">
        <v>169</v>
      </c>
      <c r="E10" t="s">
        <v>53</v>
      </c>
    </row>
    <row r="11" spans="1:5">
      <c r="C11">
        <f>SECOND(TIME(13,30,45))</f>
        <v>45</v>
      </c>
      <c r="D11" t="s">
        <v>170</v>
      </c>
      <c r="E11" t="s">
        <v>53</v>
      </c>
    </row>
    <row r="12" spans="1:5">
      <c r="A12">
        <v>0.75</v>
      </c>
      <c r="C12">
        <f>HOUR(A12)</f>
        <v>18</v>
      </c>
      <c r="D12" t="s">
        <v>171</v>
      </c>
      <c r="E12" t="s">
        <v>53</v>
      </c>
    </row>
    <row r="13" spans="1:5">
      <c r="C13">
        <f>TIMEVALUE("13:30")</f>
        <v>0.5625</v>
      </c>
      <c r="D13" t="s">
        <v>172</v>
      </c>
      <c r="E13" t="s">
        <v>53</v>
      </c>
    </row>
    <row r="14" spans="1:5">
      <c r="C14">
        <f>HOUR(DATE(2024,3,15)+0.5)</f>
        <v>12</v>
      </c>
      <c r="D14" t="s">
        <v>173</v>
      </c>
      <c r="E14" t="s">
        <v>53</v>
      </c>
    </row>
    <row r="15" spans="1:5">
      <c r="C15">
        <f>WEEKDAY(DATE(2024,3,15),2)</f>
        <v>5</v>
      </c>
      <c r="D15" t="s">
        <v>174</v>
      </c>
      <c r="E15" t="s">
        <v>53</v>
      </c>
    </row>
    <row r="16" spans="1:5">
      <c r="C16">
        <f>WEEKDAY(DATE(2024,3,15),3)</f>
        <v>4</v>
      </c>
      <c r="D16" t="s">
        <v>175</v>
      </c>
      <c r="E16" t="s">
        <v>53</v>
      </c>
    </row>
    <row r="17" spans="3:5">
      <c r="C17">
        <f>WEEKNUM(DATE(2024,3,15))</f>
        <v>11</v>
      </c>
      <c r="D17" t="s">
        <v>176</v>
      </c>
      <c r="E17" t="s">
        <v>53</v>
      </c>
    </row>
    <row r="18" spans="3:5">
      <c r="C18">
        <f>WEEKNUM(DATE(2024,3,15),2)</f>
        <v>11</v>
      </c>
      <c r="D18" t="s">
        <v>177</v>
      </c>
      <c r="E18" t="s">
        <v>53</v>
      </c>
    </row>
    <row r="19" spans="3:5">
      <c r="C19">
        <f>WEEKNUM(DATE(2024,1,1))</f>
        <v>1</v>
      </c>
      <c r="D19" t="s">
        <v>178</v>
      </c>
      <c r="E19" t="s">
        <v>53</v>
      </c>
    </row>
    <row r="20" spans="3:5">
      <c r="C20">
        <f>_xlfn.ISOWEEKNUM(DATE(2024,3,15))</f>
        <v>11</v>
      </c>
      <c r="D20" t="s">
        <v>179</v>
      </c>
      <c r="E20" t="s">
        <v>53</v>
      </c>
    </row>
    <row r="21" spans="3:5">
      <c r="C21">
        <f>_xlfn.ISOWEEKNUM(DATE(2021,1,1))</f>
        <v>53</v>
      </c>
      <c r="D21" t="s">
        <v>180</v>
      </c>
      <c r="E21" t="s">
        <v>53</v>
      </c>
    </row>
    <row r="22" spans="3:5">
      <c r="C22">
        <f>EDATE(DATE(2024,1,31),1)</f>
        <v>45351</v>
      </c>
      <c r="D22" t="s">
        <v>181</v>
      </c>
      <c r="E22" t="s">
        <v>53</v>
      </c>
    </row>
    <row r="23" spans="3:5">
      <c r="C23">
        <f>EDATE(DATE(2023,1,31),1)</f>
        <v>44985</v>
      </c>
      <c r="D23" t="s">
        <v>182</v>
      </c>
      <c r="E23" t="s">
        <v>53</v>
      </c>
    </row>
    <row r="24" spans="3:5">
      <c r="C24">
        <f>EDATE(DATE(2024,1,15),1)</f>
        <v>45337</v>
      </c>
      <c r="D24" t="s">
        <v>183</v>
      </c>
      <c r="E24" t="s">
        <v>53</v>
      </c>
    </row>
    <row r="25" spans="3:5">
      <c r="C25">
        <f>EDATE(DATE(2024,3,31),-1)</f>
        <v>45351</v>
      </c>
      <c r="D25" t="s">
        <v>184</v>
      </c>
      <c r="E25" t="s">
        <v>53</v>
      </c>
    </row>
    <row r="26" spans="3:5">
      <c r="C26">
        <f>EDATE(DATE(2024,1,15),12)</f>
        <v>45672</v>
      </c>
      <c r="D26" t="s">
        <v>185</v>
      </c>
      <c r="E26" t="s">
        <v>53</v>
      </c>
    </row>
    <row r="27" spans="3:5">
      <c r="C27">
        <f>EOMONTH(DATE(2024,1,15),0)</f>
        <v>45322</v>
      </c>
      <c r="D27" t="s">
        <v>186</v>
      </c>
      <c r="E27" t="s">
        <v>53</v>
      </c>
    </row>
    <row r="28" spans="3:5">
      <c r="C28">
        <f>EOMONTH(DATE(2024,1,31),1)</f>
        <v>45351</v>
      </c>
      <c r="D28" t="s">
        <v>187</v>
      </c>
      <c r="E28" t="s">
        <v>53</v>
      </c>
    </row>
    <row r="29" spans="3:5">
      <c r="C29">
        <f>EOMONTH(DATE(2023,1,31),1)</f>
        <v>44985</v>
      </c>
      <c r="D29" t="s">
        <v>188</v>
      </c>
      <c r="E29" t="s">
        <v>53</v>
      </c>
    </row>
    <row r="30" spans="3:5">
      <c r="C30">
        <f>EOMONTH(DATE(2024,3,15),-1)</f>
        <v>45351</v>
      </c>
      <c r="D30" t="s">
        <v>189</v>
      </c>
      <c r="E30" t="s">
        <v>53</v>
      </c>
    </row>
    <row r="31" spans="3:5">
      <c r="C31">
        <f>NETWORKDAYS(DATE(2024,3,1),DATE(2024,3,15))</f>
        <v>11</v>
      </c>
      <c r="D31" t="s">
        <v>190</v>
      </c>
      <c r="E31" t="s">
        <v>53</v>
      </c>
    </row>
    <row r="32" spans="3:5">
      <c r="C32">
        <f>NETWORKDAYS(DATE(2024,3,15),DATE(2024,3,1))</f>
        <v>-11</v>
      </c>
      <c r="D32" t="s">
        <v>191</v>
      </c>
      <c r="E32" t="s">
        <v>53</v>
      </c>
    </row>
    <row r="33" spans="3:5">
      <c r="C33">
        <f>WORKDAY(DATE(2024,3,1),5)</f>
        <v>45359</v>
      </c>
      <c r="D33" t="s">
        <v>192</v>
      </c>
      <c r="E33" t="s">
        <v>53</v>
      </c>
    </row>
    <row r="34" spans="3:5">
      <c r="C34">
        <f>WORKDAY(DATE(2024,3,1),-1)</f>
        <v>45351</v>
      </c>
      <c r="D34" t="s">
        <v>193</v>
      </c>
      <c r="E34" t="s">
        <v>53</v>
      </c>
    </row>
    <row r="35" spans="3:5">
      <c r="C35">
        <f>_xlfn.DAYS(DATE(2024,3,15),DATE(2024,3,1))</f>
        <v>14</v>
      </c>
      <c r="D35" t="s">
        <v>194</v>
      </c>
      <c r="E35" t="s">
        <v>53</v>
      </c>
    </row>
    <row r="36" spans="3:5">
      <c r="C36">
        <f>_xlfn.DAYS(DATE(2024,3,1),DATE(2024,3,15))</f>
        <v>-14</v>
      </c>
      <c r="D36" t="s">
        <v>195</v>
      </c>
      <c r="E36" t="s">
        <v>53</v>
      </c>
    </row>
    <row r="37" spans="3:5">
      <c r="C37">
        <f>DAYS360(DATE(2024,1,31),DATE(2024,3,31))</f>
        <v>60</v>
      </c>
      <c r="D37" t="s">
        <v>196</v>
      </c>
      <c r="E37" t="s">
        <v>53</v>
      </c>
    </row>
    <row r="38" spans="3:5">
      <c r="C38">
        <f>YEARFRAC(DATE(2024,1,1),DATE(2024,7,1))</f>
        <v>0.5</v>
      </c>
      <c r="D38" t="s">
        <v>197</v>
      </c>
      <c r="E38" t="s">
        <v>53</v>
      </c>
    </row>
    <row r="39" spans="3:5">
      <c r="C39">
        <f>YEARFRAC(DATE(2024,1,1),DATE(2024,7,1),1)</f>
        <v>0.49726775956284153</v>
      </c>
      <c r="D39" t="s">
        <v>198</v>
      </c>
      <c r="E39" t="s">
        <v>53</v>
      </c>
    </row>
    <row r="40" spans="3:5">
      <c r="C40">
        <f>DATEDIF(DATE(2000,5,15),DATE(2024,3,15),"Y")</f>
        <v>23</v>
      </c>
      <c r="D40" t="s">
        <v>199</v>
      </c>
      <c r="E40" t="s">
        <v>53</v>
      </c>
    </row>
    <row r="41" spans="3:5">
      <c r="C41">
        <f>DATEDIF(DATE(2000,5,15),DATE(2024,3,15),"M")</f>
        <v>286</v>
      </c>
      <c r="D41" t="s">
        <v>200</v>
      </c>
      <c r="E41" t="s">
        <v>53</v>
      </c>
    </row>
    <row r="42" spans="3:5">
      <c r="C42">
        <f>DATEDIF(DATE(2000,5,15),DATE(2024,3,15),"D")</f>
        <v>8705</v>
      </c>
      <c r="D42" t="s">
        <v>201</v>
      </c>
      <c r="E42" t="s">
        <v>53</v>
      </c>
    </row>
    <row r="43" spans="3:5">
      <c r="C43">
        <f>DATEDIF(DATE(2000,5,15),DATE(2024,3,15),"YM")</f>
        <v>10</v>
      </c>
      <c r="D43" t="s">
        <v>202</v>
      </c>
      <c r="E43" t="s">
        <v>53</v>
      </c>
    </row>
    <row r="44" spans="3:5">
      <c r="C44">
        <f>DATEDIF(DATE(2000,5,15),DATE(2024,3,15),"YD")</f>
        <v>304</v>
      </c>
      <c r="D44" t="s">
        <v>203</v>
      </c>
      <c r="E44" t="s">
        <v>53</v>
      </c>
    </row>
    <row r="45" spans="3:5">
      <c r="C45">
        <f>DATEDIF(DATE(2000,5,15),DATE(2024,3,15),"MD")</f>
        <v>0</v>
      </c>
      <c r="D45" t="s">
        <v>204</v>
      </c>
      <c r="E45" t="s">
        <v>53</v>
      </c>
    </row>
    <row r="46" spans="3:5">
      <c r="C46">
        <f>DATEDIF(DATE(2024,1,31),DATE(2024,3,1),"MD")</f>
        <v>-1</v>
      </c>
      <c r="D46" t="s">
        <v>205</v>
      </c>
      <c r="E46" t="s">
        <v>53</v>
      </c>
    </row>
    <row r="47" spans="3:5">
      <c r="C47" t="e">
        <f>DATEDIF(DATE(2024,3,15),DATE(2000,5,15),"Y")</f>
        <v>#NUM!</v>
      </c>
      <c r="D47" t="s">
        <v>206</v>
      </c>
      <c r="E47" t="s">
        <v>53</v>
      </c>
    </row>
    <row r="48" spans="3:5">
      <c r="C48" t="e">
        <f>DATEDIF(DATE(2000,5,15),DATE(2024,3,15),"X")</f>
        <v>#NUM!</v>
      </c>
      <c r="D48" t="s">
        <v>207</v>
      </c>
      <c r="E48" t="s">
        <v>53</v>
      </c>
    </row>
    <row r="49" spans="3:5">
      <c r="C49">
        <f>DATEDIF(DATE(2000,5,15),DATE(2024,3,15),"y")</f>
        <v>23</v>
      </c>
      <c r="D49" t="s">
        <v>208</v>
      </c>
      <c r="E49" t="s">
        <v>53</v>
      </c>
    </row>
    <row r="50" spans="3:5">
      <c r="C50">
        <f>DATE(2024,3,15)+30</f>
        <v>45396</v>
      </c>
      <c r="D50" t="s">
        <v>209</v>
      </c>
      <c r="E50" t="s">
        <v>53</v>
      </c>
    </row>
    <row r="51" spans="3:5">
      <c r="C51">
        <f>YEAR(DATE(2024,3,15)+30)</f>
        <v>2024</v>
      </c>
      <c r="D51" t="s">
        <v>210</v>
      </c>
      <c r="E51" t="s">
        <v>53</v>
      </c>
    </row>
    <row r="52" spans="3:5">
      <c r="C52">
        <f>DATE(2024,3,15)-DATE(2024,3,1)</f>
        <v>14</v>
      </c>
      <c r="D52" t="s">
        <v>211</v>
      </c>
      <c r="E52" t="s">
        <v>53</v>
      </c>
    </row>
    <row r="53" spans="3:5">
      <c r="C53">
        <f>DATEVALUE("2024/03/15")</f>
        <v>45366</v>
      </c>
      <c r="D53" t="s">
        <v>212</v>
      </c>
      <c r="E53" t="s">
        <v>53</v>
      </c>
    </row>
    <row r="54" spans="3:5">
      <c r="C54" t="e">
        <f>DATEVALUE("2024-13-45")</f>
        <v>#VALUE!</v>
      </c>
      <c r="D54" t="s">
        <v>213</v>
      </c>
      <c r="E54" t="s">
        <v>53</v>
      </c>
    </row>
  </sheetData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5"/>
  <sheetViews>
    <sheetView zoomScaleNormal="100" zoomScaleSheetLayoutView="100" workbookViewId="0"/>
  </sheetViews>
  <sheetFormatPr defaultRowHeight="13.5"/>
  <cols>
    <col min="3" max="3" width="48" customWidth="1"/>
    <col min="4" max="5" width="40" customWidth="1"/>
  </cols>
  <sheetData>
    <row r="1" spans="1: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>
      <c r="C2" t="str">
        <f>VLOOKUP(85,Data!J2:K6,2,TRUE)</f>
        <v>B</v>
      </c>
      <c r="D2" t="s">
        <v>214</v>
      </c>
      <c r="E2" t="s">
        <v>53</v>
      </c>
    </row>
    <row r="3" spans="1:5">
      <c r="C3" t="str">
        <f>VLOOKUP(85,Data!J2:K6,2)</f>
        <v>B</v>
      </c>
      <c r="D3" t="s">
        <v>215</v>
      </c>
      <c r="E3" t="s">
        <v>53</v>
      </c>
    </row>
    <row r="4" spans="1:5">
      <c r="C4" t="str">
        <f>VLOOKUP(59,Data!J2:K6,2,TRUE)</f>
        <v>F</v>
      </c>
      <c r="D4" t="s">
        <v>216</v>
      </c>
      <c r="E4" t="s">
        <v>53</v>
      </c>
    </row>
    <row r="5" spans="1:5">
      <c r="C5" t="str">
        <f>VLOOKUP(60,Data!J2:K6,2,TRUE)</f>
        <v>D</v>
      </c>
      <c r="D5" t="s">
        <v>217</v>
      </c>
      <c r="E5" t="s">
        <v>53</v>
      </c>
    </row>
    <row r="6" spans="1:5">
      <c r="C6" t="e">
        <f>VLOOKUP(-1,Data!J2:K6,2,TRUE)</f>
        <v>#N/A</v>
      </c>
      <c r="D6" t="s">
        <v>218</v>
      </c>
      <c r="E6" t="s">
        <v>53</v>
      </c>
    </row>
    <row r="7" spans="1:5">
      <c r="C7" t="str">
        <f>VLOOKUP(1000,Data!J2:K6,2,TRUE)</f>
        <v>A</v>
      </c>
      <c r="D7" t="s">
        <v>219</v>
      </c>
      <c r="E7" t="s">
        <v>53</v>
      </c>
    </row>
    <row r="8" spans="1:5">
      <c r="C8">
        <f>VLOOKUP("사*",Data!A2:C6,2,FALSE)</f>
        <v>12</v>
      </c>
      <c r="D8" t="s">
        <v>220</v>
      </c>
      <c r="E8" t="s">
        <v>53</v>
      </c>
    </row>
    <row r="9" spans="1:5">
      <c r="C9" t="e">
        <f>VLOOKUP("사과",Data!A2:C6,0,FALSE)</f>
        <v>#VALUE!</v>
      </c>
      <c r="D9" t="s">
        <v>221</v>
      </c>
      <c r="E9" t="s">
        <v>53</v>
      </c>
    </row>
    <row r="10" spans="1:5">
      <c r="C10" t="e">
        <f>VLOOKUP("SA",Data!A2:C6,2,FALSE)</f>
        <v>#N/A</v>
      </c>
      <c r="D10" t="s">
        <v>222</v>
      </c>
      <c r="E10" t="s">
        <v>53</v>
      </c>
    </row>
    <row r="11" spans="1:5">
      <c r="C11">
        <f>HLOOKUP("수량",Data!A1:D6,2,FALSE)</f>
        <v>12</v>
      </c>
      <c r="D11" t="s">
        <v>223</v>
      </c>
      <c r="E11" t="s">
        <v>53</v>
      </c>
    </row>
    <row r="12" spans="1:5">
      <c r="C12">
        <f>HLOOKUP("단가",Data!A1:D6,6,FALSE)</f>
        <v>900</v>
      </c>
      <c r="D12" t="s">
        <v>224</v>
      </c>
      <c r="E12" t="s">
        <v>53</v>
      </c>
    </row>
    <row r="13" spans="1:5">
      <c r="C13">
        <f>MATCH(85,Data!J2:J6,1)</f>
        <v>4</v>
      </c>
      <c r="D13" t="s">
        <v>225</v>
      </c>
      <c r="E13" t="s">
        <v>53</v>
      </c>
    </row>
    <row r="14" spans="1:5">
      <c r="C14">
        <f>MATCH(85,Data!J2:J6)</f>
        <v>4</v>
      </c>
      <c r="D14" t="s">
        <v>226</v>
      </c>
      <c r="E14" t="s">
        <v>53</v>
      </c>
    </row>
    <row r="15" spans="1:5">
      <c r="C15">
        <f>MATCH(85,Data!M2:M6,-1)</f>
        <v>1</v>
      </c>
      <c r="D15" t="s">
        <v>227</v>
      </c>
      <c r="E15" t="s">
        <v>53</v>
      </c>
    </row>
    <row r="16" spans="1:5">
      <c r="C16">
        <f>MATCH("사*",Data!A2:A6,0)</f>
        <v>1</v>
      </c>
      <c r="D16" t="s">
        <v>228</v>
      </c>
      <c r="E16" t="s">
        <v>53</v>
      </c>
    </row>
    <row r="17" spans="3:5">
      <c r="C17">
        <f>MATCH("사과",Data!A2:A6,0)</f>
        <v>1</v>
      </c>
      <c r="D17" t="s">
        <v>229</v>
      </c>
      <c r="E17" t="s">
        <v>53</v>
      </c>
    </row>
    <row r="18" spans="3:5">
      <c r="C18">
        <f>INDEX(Data!A2:C6,2,3)</f>
        <v>2500</v>
      </c>
      <c r="D18" t="s">
        <v>230</v>
      </c>
      <c r="E18" t="s">
        <v>53</v>
      </c>
    </row>
    <row r="19" spans="3:5">
      <c r="C19" t="str">
        <f>INDEX(Data!A2:A6,3)</f>
        <v>귤</v>
      </c>
      <c r="D19" t="s">
        <v>231</v>
      </c>
      <c r="E19" t="s">
        <v>53</v>
      </c>
    </row>
    <row r="20" spans="3:5">
      <c r="C20">
        <f>INDEX(Data!D2:D6,1)</f>
        <v>0</v>
      </c>
      <c r="D20" t="s">
        <v>232</v>
      </c>
      <c r="E20" t="s">
        <v>53</v>
      </c>
    </row>
    <row r="21" spans="3:5">
      <c r="C21">
        <f>INDEX(Data!A2:C6,MATCH("귤",Data!A2:A6,0),MATCH("단가",Data!A1:C1,0))</f>
        <v>400</v>
      </c>
      <c r="D21" t="s">
        <v>233</v>
      </c>
      <c r="E21" t="s">
        <v>53</v>
      </c>
    </row>
    <row r="22" spans="3:5">
      <c r="C22" t="str">
        <f>_xlfn.XLOOKUP("영업",Data!H2:H7,Data!F2:F7)</f>
        <v>김민준</v>
      </c>
      <c r="D22" t="s">
        <v>234</v>
      </c>
      <c r="E22" t="s">
        <v>53</v>
      </c>
    </row>
    <row r="23" spans="3:5">
      <c r="C23" t="str">
        <f>_xlfn.XLOOKUP("없음",Data!H2:H7,Data!F2:F7,"없음")</f>
        <v>없음</v>
      </c>
      <c r="D23" t="s">
        <v>235</v>
      </c>
      <c r="E23" t="s">
        <v>53</v>
      </c>
    </row>
    <row r="24" spans="3:5">
      <c r="C24" t="e">
        <f>_xlfn.XLOOKUP("없음",Data!H2:H7,Data!F2:F7)</f>
        <v>#N/A</v>
      </c>
      <c r="D24" t="s">
        <v>236</v>
      </c>
      <c r="E24" t="s">
        <v>53</v>
      </c>
    </row>
    <row r="25" spans="3:5">
      <c r="C25" t="str">
        <f>_xlfn.XLOOKUP(85,Data!J2:J6,Data!K2:K6,"없음",-1)</f>
        <v>B</v>
      </c>
      <c r="D25" t="s">
        <v>237</v>
      </c>
      <c r="E25" t="s">
        <v>53</v>
      </c>
    </row>
    <row r="26" spans="3:5">
      <c r="C26" t="str">
        <f>_xlfn.XLOOKUP(85,Data!J2:J6,Data!K2:K6,"없음",1)</f>
        <v>A</v>
      </c>
      <c r="D26" t="s">
        <v>238</v>
      </c>
      <c r="E26" t="s">
        <v>53</v>
      </c>
    </row>
    <row r="27" spans="3:5">
      <c r="C27" t="e">
        <f>_xlfn.XLOOKUP(85,Data!J2:J6,Data!K2:K6)</f>
        <v>#N/A</v>
      </c>
      <c r="D27" t="s">
        <v>239</v>
      </c>
      <c r="E27" t="s">
        <v>53</v>
      </c>
    </row>
    <row r="28" spans="3:5">
      <c r="C28">
        <f>_xlfn.XLOOKUP("*",Data!F2:F7,Data!G2:G7,"없음",2)</f>
        <v>85</v>
      </c>
      <c r="D28" t="s">
        <v>240</v>
      </c>
      <c r="E28" t="s">
        <v>53</v>
      </c>
    </row>
    <row r="29" spans="3:5">
      <c r="C29" t="str">
        <f>_xlfn.XLOOKUP("한*",Data!F2:F7,Data!G2:G7,"없음",2)</f>
        <v>결석</v>
      </c>
      <c r="D29" t="s">
        <v>241</v>
      </c>
      <c r="E29" t="s">
        <v>53</v>
      </c>
    </row>
    <row r="30" spans="3:5">
      <c r="C30" t="str">
        <f>_xlfn.XLOOKUP("영업",Data!H2:H7,Data!F2:F7,,0,-1)</f>
        <v>한지아</v>
      </c>
      <c r="D30" t="s">
        <v>242</v>
      </c>
      <c r="E30" t="s">
        <v>53</v>
      </c>
    </row>
    <row r="31" spans="3:5">
      <c r="C31" t="str">
        <f>_xlfn.XLOOKUP(85,Data!J2:J6,Data!K2:K6,"없음",-1,2)</f>
        <v>B</v>
      </c>
      <c r="D31" t="s">
        <v>243</v>
      </c>
      <c r="E31" t="s">
        <v>53</v>
      </c>
    </row>
    <row r="32" spans="3:5">
      <c r="C32">
        <f>_xlfn.XLOOKUP("점수",Data!F1:H1,Data!F2:H2)</f>
        <v>85</v>
      </c>
      <c r="D32" t="s">
        <v>244</v>
      </c>
      <c r="E32" t="s">
        <v>53</v>
      </c>
    </row>
    <row r="33" spans="3:5">
      <c r="C33">
        <f>_xlfn.XLOOKUP("김민준",Data!F2:F7,Data!G2:G7)</f>
        <v>85</v>
      </c>
      <c r="D33" t="s">
        <v>245</v>
      </c>
      <c r="E33" t="s">
        <v>53</v>
      </c>
    </row>
    <row r="34" spans="3:5">
      <c r="C34" t="str">
        <f>_xlfn.XLOOKUP("Y",Data!H2:H7,Data!F2:F7,"없음")</f>
        <v>없음</v>
      </c>
      <c r="D34" t="s">
        <v>246</v>
      </c>
      <c r="E34" t="s">
        <v>53</v>
      </c>
    </row>
    <row r="35" spans="3:5">
      <c r="C35" t="e">
        <f>_xlfn.XLOOKUP(1,Data!A2:A3,Data!B2:B4)</f>
        <v>#VALUE!</v>
      </c>
      <c r="D35" t="s">
        <v>247</v>
      </c>
      <c r="E35" t="s">
        <v>53</v>
      </c>
    </row>
    <row r="36" spans="3:5">
      <c r="C36" t="e">
        <f>_xlfn.XLOOKUP(1/0,Data!H2:H7,Data!F2:F7)</f>
        <v>#DIV/0!</v>
      </c>
      <c r="D36" t="s">
        <v>248</v>
      </c>
      <c r="E36" t="s">
        <v>53</v>
      </c>
    </row>
    <row r="37" spans="3:5">
      <c r="C37" t="str">
        <f>_xlfn.IFNA(MATCH(999,Data!B2:B6,0),"없음")</f>
        <v>없음</v>
      </c>
      <c r="D37" t="s">
        <v>249</v>
      </c>
      <c r="E37" t="s">
        <v>53</v>
      </c>
    </row>
    <row r="38" spans="3:5">
      <c r="C38" t="e">
        <f>_xlfn.IFNA(1/0,"없음")</f>
        <v>#DIV/0!</v>
      </c>
      <c r="D38" t="s">
        <v>250</v>
      </c>
      <c r="E38" t="s">
        <v>53</v>
      </c>
    </row>
    <row r="39" spans="3:5">
      <c r="C39">
        <f>SUM(_xlfn._xlws.FILTER(Data!G2:G7,Data!H2:H7="영업"))</f>
        <v>163</v>
      </c>
      <c r="D39" t="s">
        <v>251</v>
      </c>
      <c r="E39" t="s">
        <v>53</v>
      </c>
    </row>
    <row r="40" spans="3:5">
      <c r="C40">
        <f>ROWS(_xlfn._xlws.FILTER(Data!F2:F7,Data!H2:H7="영업"))</f>
        <v>3</v>
      </c>
      <c r="D40" t="s">
        <v>252</v>
      </c>
      <c r="E40" t="s">
        <v>53</v>
      </c>
    </row>
    <row r="41" spans="3:5">
      <c r="C41">
        <f>COUNTA(_xlfn.UNIQUE(Data!H2:H7))</f>
        <v>3</v>
      </c>
      <c r="D41" t="s">
        <v>253</v>
      </c>
      <c r="E41" t="s">
        <v>53</v>
      </c>
    </row>
    <row r="42" spans="3:5">
      <c r="C42">
        <f>INDEX(_xlfn._xlws.SORT(Data!B2:B6),1)</f>
        <v>5</v>
      </c>
      <c r="D42" t="s">
        <v>254</v>
      </c>
      <c r="E42" t="s">
        <v>53</v>
      </c>
    </row>
    <row r="43" spans="3:5">
      <c r="C43">
        <f>INDEX(_xlfn._xlws.SORT(Data!B2:B6,1,-1),1)</f>
        <v>30</v>
      </c>
      <c r="D43" t="s">
        <v>255</v>
      </c>
      <c r="E43" t="s">
        <v>53</v>
      </c>
    </row>
    <row r="44" spans="3:5">
      <c r="C44">
        <f>SUM(_xlfn.SEQUENCE(4))</f>
        <v>10</v>
      </c>
      <c r="D44" t="s">
        <v>256</v>
      </c>
      <c r="E44" t="s">
        <v>53</v>
      </c>
    </row>
    <row r="45" spans="3:5">
      <c r="C45" t="str">
        <f>INDEX(_xlfn._xlws.FILTER(Data!F2:F7,Data!G2:G7&gt;80),2)</f>
        <v>이서연</v>
      </c>
      <c r="D45" t="s">
        <v>257</v>
      </c>
      <c r="E45" t="s">
        <v>53</v>
      </c>
    </row>
  </sheetData>
  <pageMargins left="0" right="0" top="0" bottom="0" header="0" footer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61"/>
  <sheetViews>
    <sheetView zoomScaleNormal="100" zoomScaleSheetLayoutView="100" workbookViewId="0"/>
  </sheetViews>
  <sheetFormatPr defaultRowHeight="13.5"/>
  <cols>
    <col min="3" max="3" width="48" customWidth="1"/>
    <col min="4" max="5" width="40" customWidth="1"/>
  </cols>
  <sheetData>
    <row r="1" spans="1: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>
      <c r="C2">
        <f>SUM(1,2,3)</f>
        <v>6</v>
      </c>
      <c r="D2" t="s">
        <v>258</v>
      </c>
      <c r="E2" t="s">
        <v>53</v>
      </c>
    </row>
    <row r="3" spans="1:5">
      <c r="C3">
        <f>SUM(Data!G2:G7,10)</f>
        <v>329</v>
      </c>
      <c r="D3" t="s">
        <v>259</v>
      </c>
      <c r="E3" t="s">
        <v>53</v>
      </c>
    </row>
    <row r="4" spans="1:5">
      <c r="C4">
        <f>SUM("3",2)</f>
        <v>5</v>
      </c>
      <c r="D4" t="s">
        <v>260</v>
      </c>
      <c r="E4" t="s">
        <v>53</v>
      </c>
    </row>
    <row r="5" spans="1:5">
      <c r="C5" t="e">
        <f>SUM("a",2)</f>
        <v>#VALUE!</v>
      </c>
      <c r="D5" t="s">
        <v>261</v>
      </c>
      <c r="E5" t="s">
        <v>53</v>
      </c>
    </row>
    <row r="6" spans="1:5">
      <c r="C6">
        <f>SUM(TRUE,2)</f>
        <v>3</v>
      </c>
      <c r="D6" t="s">
        <v>262</v>
      </c>
      <c r="E6" t="s">
        <v>53</v>
      </c>
    </row>
    <row r="7" spans="1:5">
      <c r="C7" t="e">
        <f>AVERAGE(1,"a")</f>
        <v>#VALUE!</v>
      </c>
      <c r="D7" t="s">
        <v>263</v>
      </c>
      <c r="E7" t="s">
        <v>53</v>
      </c>
    </row>
    <row r="8" spans="1:5">
      <c r="C8">
        <f>AVERAGE("3",5)</f>
        <v>4</v>
      </c>
      <c r="D8" t="s">
        <v>264</v>
      </c>
      <c r="E8" t="s">
        <v>53</v>
      </c>
    </row>
    <row r="9" spans="1:5">
      <c r="C9" t="e">
        <f>AVERAGE(Data!D2:D2)</f>
        <v>#DIV/0!</v>
      </c>
      <c r="D9" t="s">
        <v>265</v>
      </c>
      <c r="E9" t="s">
        <v>53</v>
      </c>
    </row>
    <row r="10" spans="1:5">
      <c r="C10">
        <f>MAX(Data!D2:D2)</f>
        <v>0</v>
      </c>
      <c r="D10" t="s">
        <v>266</v>
      </c>
      <c r="E10" t="s">
        <v>53</v>
      </c>
    </row>
    <row r="11" spans="1:5">
      <c r="C11">
        <f>MIN(Data!G5:G5)</f>
        <v>0</v>
      </c>
      <c r="D11" t="s">
        <v>267</v>
      </c>
      <c r="E11" t="s">
        <v>53</v>
      </c>
    </row>
    <row r="12" spans="1:5">
      <c r="C12">
        <f>MAX(Data!G2:G7,100)</f>
        <v>100</v>
      </c>
      <c r="D12" t="s">
        <v>268</v>
      </c>
      <c r="E12" t="s">
        <v>53</v>
      </c>
    </row>
    <row r="13" spans="1:5">
      <c r="C13">
        <f>COUNT(1,"a",TRUE,"3")</f>
        <v>3</v>
      </c>
      <c r="D13" t="s">
        <v>269</v>
      </c>
      <c r="E13" t="s">
        <v>53</v>
      </c>
    </row>
    <row r="14" spans="1:5">
      <c r="C14">
        <f>COUNT(Data!G2:G7)</f>
        <v>4</v>
      </c>
      <c r="D14" t="s">
        <v>270</v>
      </c>
      <c r="E14" t="s">
        <v>53</v>
      </c>
    </row>
    <row r="15" spans="1:5">
      <c r="C15">
        <f>COUNTA("",1)</f>
        <v>2</v>
      </c>
      <c r="D15" t="s">
        <v>271</v>
      </c>
      <c r="E15" t="s">
        <v>53</v>
      </c>
    </row>
    <row r="16" spans="1:5">
      <c r="C16">
        <f>COUNTA(Data!G2:G7)</f>
        <v>5</v>
      </c>
      <c r="D16" t="s">
        <v>272</v>
      </c>
      <c r="E16" t="s">
        <v>53</v>
      </c>
    </row>
    <row r="17" spans="3:5">
      <c r="C17">
        <f>COUNTBLANK(Data!G2:G7)</f>
        <v>1</v>
      </c>
      <c r="D17" t="s">
        <v>273</v>
      </c>
      <c r="E17" t="s">
        <v>53</v>
      </c>
    </row>
    <row r="18" spans="3:5">
      <c r="C18">
        <f>COUNTIF(Data!G2:G7,"")</f>
        <v>1</v>
      </c>
      <c r="D18" t="s">
        <v>274</v>
      </c>
      <c r="E18" t="s">
        <v>53</v>
      </c>
    </row>
    <row r="19" spans="3:5">
      <c r="C19">
        <f>COUNTIF(Data!G2:G7,"&lt;&gt;")</f>
        <v>5</v>
      </c>
      <c r="D19" t="s">
        <v>275</v>
      </c>
      <c r="E19" t="s">
        <v>53</v>
      </c>
    </row>
    <row r="20" spans="3:5">
      <c r="C20">
        <f>COUNTIF(Data!H2:H7,"영*")</f>
        <v>3</v>
      </c>
      <c r="D20" t="s">
        <v>276</v>
      </c>
      <c r="E20" t="s">
        <v>53</v>
      </c>
    </row>
    <row r="21" spans="3:5">
      <c r="C21">
        <f>COUNTIF(Data!G2:G7,"&gt;=78")</f>
        <v>3</v>
      </c>
      <c r="D21" t="s">
        <v>277</v>
      </c>
      <c r="E21" t="s">
        <v>53</v>
      </c>
    </row>
    <row r="22" spans="3:5">
      <c r="C22">
        <f>COUNTIF(Data!G2:G7,85)</f>
        <v>1</v>
      </c>
      <c r="D22" t="s">
        <v>278</v>
      </c>
      <c r="E22" t="s">
        <v>53</v>
      </c>
    </row>
    <row r="23" spans="3:5">
      <c r="C23">
        <f>COUNTIF(Data!G2:G7,"&lt;&gt;85")</f>
        <v>5</v>
      </c>
      <c r="D23" t="s">
        <v>279</v>
      </c>
      <c r="E23" t="s">
        <v>53</v>
      </c>
    </row>
    <row r="24" spans="3:5">
      <c r="C24">
        <f>COUNTIF(Data!H2:H7,"&lt;&gt;영업")</f>
        <v>3</v>
      </c>
      <c r="D24" t="s">
        <v>280</v>
      </c>
      <c r="E24" t="s">
        <v>53</v>
      </c>
    </row>
    <row r="25" spans="3:5">
      <c r="C25">
        <f>COUNTIF(Data!H2:H7,"영업 ")</f>
        <v>0</v>
      </c>
      <c r="D25" t="s">
        <v>281</v>
      </c>
      <c r="E25" t="s">
        <v>53</v>
      </c>
    </row>
    <row r="26" spans="3:5">
      <c r="C26">
        <f>COUNTIFS(Data!H2:H7,"영*",Data!G2:G7,"&gt;=80")</f>
        <v>1</v>
      </c>
      <c r="D26" t="s">
        <v>282</v>
      </c>
      <c r="E26" t="s">
        <v>53</v>
      </c>
    </row>
    <row r="27" spans="3:5">
      <c r="C27">
        <f>COUNTIFS(Data!H2:H7,"영업",Data!G2:G7,"&lt;&gt;")</f>
        <v>3</v>
      </c>
      <c r="D27" t="s">
        <v>283</v>
      </c>
      <c r="E27" t="s">
        <v>53</v>
      </c>
    </row>
    <row r="28" spans="3:5">
      <c r="C28">
        <f>COUNTIFS(Data!G2:G7,"&gt;70",Data!G2:G7,"&lt;90")</f>
        <v>2</v>
      </c>
      <c r="D28" t="s">
        <v>284</v>
      </c>
      <c r="E28" t="s">
        <v>53</v>
      </c>
    </row>
    <row r="29" spans="3:5">
      <c r="C29">
        <f>SUMIF(Data!G2:G7,"&gt;80")</f>
        <v>177</v>
      </c>
      <c r="D29" t="s">
        <v>285</v>
      </c>
      <c r="E29" t="s">
        <v>53</v>
      </c>
    </row>
    <row r="30" spans="3:5">
      <c r="C30">
        <f>SUMIF(Data!H2:H7,"&lt;&gt;영업",Data!G2:G7)</f>
        <v>156</v>
      </c>
      <c r="D30" t="s">
        <v>286</v>
      </c>
      <c r="E30" t="s">
        <v>53</v>
      </c>
    </row>
    <row r="31" spans="3:5">
      <c r="C31">
        <f>SUMIF(Data!H2:H7,"영*",Data!G2:G7)</f>
        <v>163</v>
      </c>
      <c r="D31" t="s">
        <v>287</v>
      </c>
      <c r="E31" t="s">
        <v>53</v>
      </c>
    </row>
    <row r="32" spans="3:5">
      <c r="C32">
        <f>SUMIFS(Data!G2:G7,Data!H2:H7,"영업",Data!G2:G7,"&gt;=80")</f>
        <v>85</v>
      </c>
      <c r="D32" t="s">
        <v>288</v>
      </c>
      <c r="E32" t="s">
        <v>53</v>
      </c>
    </row>
    <row r="33" spans="3:5">
      <c r="C33">
        <f>SUMIFS(Data!G2:G7,Data!H2:H7,"없음")</f>
        <v>0</v>
      </c>
      <c r="D33" t="s">
        <v>289</v>
      </c>
      <c r="E33" t="s">
        <v>53</v>
      </c>
    </row>
    <row r="34" spans="3:5">
      <c r="C34" t="e">
        <f>SUMIFS(Data!G2:G7,Data!H2:H6,"영업")</f>
        <v>#VALUE!</v>
      </c>
      <c r="D34" t="s">
        <v>290</v>
      </c>
      <c r="E34" t="s">
        <v>53</v>
      </c>
    </row>
    <row r="35" spans="3:5">
      <c r="C35" t="str">
        <f>IF(Data!G5="","빈칸","값")</f>
        <v>빈칸</v>
      </c>
      <c r="D35" t="s">
        <v>291</v>
      </c>
      <c r="E35" t="s">
        <v>53</v>
      </c>
    </row>
    <row r="36" spans="3:5">
      <c r="C36" t="b">
        <f>IF(FALSE,1)</f>
        <v>0</v>
      </c>
      <c r="D36" t="s">
        <v>292</v>
      </c>
      <c r="E36" t="s">
        <v>53</v>
      </c>
    </row>
    <row r="37" spans="3:5">
      <c r="C37" t="str">
        <f>IF(0,"a","b")</f>
        <v>b</v>
      </c>
      <c r="D37" t="s">
        <v>293</v>
      </c>
      <c r="E37" t="s">
        <v>53</v>
      </c>
    </row>
    <row r="38" spans="3:5">
      <c r="C38" t="e">
        <f>IF("a",1,2)</f>
        <v>#VALUE!</v>
      </c>
      <c r="D38" t="s">
        <v>294</v>
      </c>
      <c r="E38" t="s">
        <v>53</v>
      </c>
    </row>
    <row r="39" spans="3:5">
      <c r="C39" t="e">
        <f>IF(1/0,1,2)</f>
        <v>#DIV/0!</v>
      </c>
      <c r="D39" t="s">
        <v>295</v>
      </c>
      <c r="E39" t="s">
        <v>53</v>
      </c>
    </row>
    <row r="40" spans="3:5">
      <c r="C40">
        <f>IF(TRUE,1,1/0)</f>
        <v>1</v>
      </c>
      <c r="D40" t="s">
        <v>296</v>
      </c>
      <c r="E40" t="s">
        <v>53</v>
      </c>
    </row>
    <row r="41" spans="3:5">
      <c r="C41" t="b">
        <f>AND(1,0)</f>
        <v>0</v>
      </c>
      <c r="D41" t="s">
        <v>297</v>
      </c>
      <c r="E41" t="s">
        <v>53</v>
      </c>
    </row>
    <row r="42" spans="3:5">
      <c r="C42" t="b">
        <f>AND(1,"a")</f>
        <v>1</v>
      </c>
      <c r="D42" t="s">
        <v>298</v>
      </c>
      <c r="E42" t="s">
        <v>53</v>
      </c>
    </row>
    <row r="43" spans="3:5">
      <c r="C43" t="b">
        <f>AND(TRUE,Data!H2:H3)</f>
        <v>1</v>
      </c>
      <c r="D43" t="s">
        <v>299</v>
      </c>
      <c r="E43" t="s">
        <v>53</v>
      </c>
    </row>
    <row r="44" spans="3:5">
      <c r="C44" t="e">
        <f>OR(Data!H2:H3)</f>
        <v>#VALUE!</v>
      </c>
      <c r="D44" t="s">
        <v>300</v>
      </c>
      <c r="E44" t="s">
        <v>53</v>
      </c>
    </row>
    <row r="45" spans="3:5">
      <c r="C45" t="b">
        <f>OR(FALSE,1)</f>
        <v>1</v>
      </c>
      <c r="D45" t="s">
        <v>301</v>
      </c>
      <c r="E45" t="s">
        <v>53</v>
      </c>
    </row>
    <row r="46" spans="3:5">
      <c r="C46" t="b">
        <f>NOT(0)</f>
        <v>1</v>
      </c>
      <c r="D46" t="s">
        <v>302</v>
      </c>
      <c r="E46" t="s">
        <v>53</v>
      </c>
    </row>
    <row r="47" spans="3:5">
      <c r="C47" t="str">
        <f>IFERROR(VLOOKUP("수박",Data!A2:C6,2,FALSE),"없음")</f>
        <v>없음</v>
      </c>
      <c r="D47" t="s">
        <v>303</v>
      </c>
      <c r="E47" t="s">
        <v>53</v>
      </c>
    </row>
    <row r="48" spans="3:5">
      <c r="C48" t="str">
        <f>IFERROR(Data!A2,"대체")</f>
        <v>사과</v>
      </c>
      <c r="D48" t="s">
        <v>304</v>
      </c>
      <c r="E48" t="s">
        <v>53</v>
      </c>
    </row>
    <row r="49" spans="3:5">
      <c r="C49">
        <f>ROUND(2.5,0)</f>
        <v>3</v>
      </c>
      <c r="D49" t="s">
        <v>305</v>
      </c>
      <c r="E49" t="s">
        <v>53</v>
      </c>
    </row>
    <row r="50" spans="3:5">
      <c r="C50">
        <f>ROUND(-0.5,0)</f>
        <v>-1</v>
      </c>
      <c r="D50" t="s">
        <v>306</v>
      </c>
      <c r="E50" t="s">
        <v>53</v>
      </c>
    </row>
    <row r="51" spans="3:5">
      <c r="C51">
        <f>ROUND(1.005,2)</f>
        <v>1.01</v>
      </c>
      <c r="D51" t="s">
        <v>307</v>
      </c>
      <c r="E51" t="s">
        <v>53</v>
      </c>
    </row>
    <row r="52" spans="3:5">
      <c r="C52">
        <f>ROUND(0.285,2)</f>
        <v>0.28999999999999998</v>
      </c>
      <c r="D52" t="s">
        <v>308</v>
      </c>
      <c r="E52" t="s">
        <v>53</v>
      </c>
    </row>
    <row r="53" spans="3:5">
      <c r="C53">
        <f>ROUND(1234.5678,-2)</f>
        <v>1200</v>
      </c>
      <c r="D53" t="s">
        <v>309</v>
      </c>
      <c r="E53" t="s">
        <v>53</v>
      </c>
    </row>
    <row r="54" spans="3:5">
      <c r="C54">
        <f>ROUND(1.45,1)</f>
        <v>1.5</v>
      </c>
      <c r="D54" t="s">
        <v>310</v>
      </c>
      <c r="E54" t="s">
        <v>53</v>
      </c>
    </row>
    <row r="55" spans="3:5">
      <c r="C55">
        <f>ROUNDUP(-3.141,1)</f>
        <v>-3.2</v>
      </c>
      <c r="D55" t="s">
        <v>311</v>
      </c>
      <c r="E55" t="s">
        <v>53</v>
      </c>
    </row>
    <row r="56" spans="3:5">
      <c r="C56">
        <f>ROUNDUP(3.0000001,0)</f>
        <v>4</v>
      </c>
      <c r="D56" t="s">
        <v>312</v>
      </c>
      <c r="E56" t="s">
        <v>53</v>
      </c>
    </row>
    <row r="57" spans="3:5">
      <c r="C57">
        <f>ROUNDDOWN(3.789,-1)</f>
        <v>0</v>
      </c>
      <c r="D57" t="s">
        <v>313</v>
      </c>
      <c r="E57" t="s">
        <v>53</v>
      </c>
    </row>
    <row r="58" spans="3:5">
      <c r="C58">
        <f>ROUNDDOWN(2.9999999999,0)</f>
        <v>2</v>
      </c>
      <c r="D58" t="s">
        <v>314</v>
      </c>
      <c r="E58" t="s">
        <v>53</v>
      </c>
    </row>
    <row r="59" spans="3:5">
      <c r="C59" t="e">
        <f>ROUND("a",1)</f>
        <v>#VALUE!</v>
      </c>
      <c r="D59" t="s">
        <v>315</v>
      </c>
      <c r="E59" t="s">
        <v>53</v>
      </c>
    </row>
    <row r="60" spans="3:5">
      <c r="C60">
        <f>ROUND(3.14159,2.9)</f>
        <v>3.14</v>
      </c>
      <c r="D60" t="s">
        <v>316</v>
      </c>
      <c r="E60" t="s">
        <v>53</v>
      </c>
    </row>
    <row r="61" spans="3:5">
      <c r="C61">
        <f>INT(-1.5)</f>
        <v>-2</v>
      </c>
      <c r="D61" t="s">
        <v>317</v>
      </c>
      <c r="E61" t="s">
        <v>53</v>
      </c>
    </row>
  </sheetData>
  <pageMargins left="0" right="0" top="0" bottom="0" header="0" footer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6"/>
  <sheetViews>
    <sheetView zoomScaleNormal="100" zoomScaleSheetLayoutView="100" workbookViewId="0"/>
  </sheetViews>
  <sheetFormatPr defaultRowHeight="13.5"/>
  <cols>
    <col min="3" max="3" width="48" customWidth="1"/>
    <col min="4" max="5" width="40" customWidth="1"/>
  </cols>
  <sheetData>
    <row r="1" spans="1:24">
      <c r="A1" t="s">
        <v>318</v>
      </c>
      <c r="B1" t="s">
        <v>319</v>
      </c>
      <c r="D1" t="s">
        <v>320</v>
      </c>
      <c r="E1" t="s">
        <v>321</v>
      </c>
      <c r="F1" t="s">
        <v>322</v>
      </c>
      <c r="G1" t="s">
        <v>323</v>
      </c>
      <c r="H1" t="s">
        <v>324</v>
      </c>
      <c r="I1" t="s">
        <v>325</v>
      </c>
      <c r="J1" t="s">
        <v>326</v>
      </c>
      <c r="L1" t="s">
        <v>327</v>
      </c>
      <c r="M1" t="s">
        <v>328</v>
      </c>
      <c r="N1" t="s">
        <v>329</v>
      </c>
      <c r="O1" t="s">
        <v>330</v>
      </c>
      <c r="P1" t="s">
        <v>331</v>
      </c>
      <c r="S1" t="s">
        <v>332</v>
      </c>
      <c r="T1" t="s">
        <v>333</v>
      </c>
      <c r="V1" t="s">
        <v>334</v>
      </c>
    </row>
    <row r="2" spans="1:24">
      <c r="A2" t="str">
        <f t="array" ref="A2:A4">_xlfn._xlws.FILTER(Data!F2:F7,Data!H2:H7="영업")</f>
        <v>김민준</v>
      </c>
      <c r="B2" t="str">
        <f t="array" ref="B2:C4">_xlfn._xlws.FILTER(Data!F2:G7,Data!H2:H7="영업")</f>
        <v>김민준</v>
      </c>
      <c r="C2">
        <v>85</v>
      </c>
      <c r="D2" t="str">
        <f t="array" ref="D2">_xlfn._xlws.FILTER(Data!F2:F7,Data!H2:H7="없음","없음")</f>
        <v>없음</v>
      </c>
      <c r="E2" t="e" vm="2">
        <f t="array" ref="E2">_xlfn._xlws.FILTER(Data!F2:F7,Data!H2:H7="없음")</f>
        <v>#VALUE!</v>
      </c>
      <c r="F2" t="str">
        <f t="array" ref="F2:F4">_xlfn._xlws.FILTER(Data!F2:F7,Data!H2:H7="영업",Data!G2:G7&gt;80)</f>
        <v>김민준</v>
      </c>
      <c r="G2" t="str">
        <f t="array" ref="G2:G3">_xlfn._xlws.FILTER(Data!F2:F7,(Data!H2:H7="영업")*(Data!G2:G7&gt;80))</f>
        <v>김민준</v>
      </c>
      <c r="H2">
        <f t="array" ref="H2:H6">_xlfn._xlws.SORT(Data!B2:B6)</f>
        <v>5</v>
      </c>
      <c r="I2">
        <f t="array" ref="I2:I6">_xlfn._xlws.SORT(Data!B2:B6,1,-1)</f>
        <v>30</v>
      </c>
      <c r="J2" t="str">
        <f t="array" ref="J2:K6">_xlfn._xlws.SORT(Data!A2:B6,2,-1)</f>
        <v>귤</v>
      </c>
      <c r="K2">
        <v>30</v>
      </c>
      <c r="L2" t="str">
        <f t="array" ref="L2:L4">_xlfn.UNIQUE(Data!H2:H7)</f>
        <v>영업</v>
      </c>
      <c r="M2" t="str">
        <f t="array" ref="M2">_xlfn.UNIQUE(Data!H2:H7,FALSE,TRUE)</f>
        <v>인사</v>
      </c>
      <c r="N2">
        <f t="array" ref="N2:N4">_xlfn.UNIQUE(Data!D2:D6)</f>
        <v>0</v>
      </c>
      <c r="O2" t="str">
        <f t="array" ref="O2:O4">_xlfn._xlws.SORT(_xlfn.UNIQUE(Data!H2:H7))</f>
        <v>개발</v>
      </c>
      <c r="P2">
        <f t="array" ref="P2:R3">_xlfn.SEQUENCE(2,3)</f>
        <v>1</v>
      </c>
      <c r="Q2">
        <v>2</v>
      </c>
      <c r="R2">
        <v>3</v>
      </c>
      <c r="S2">
        <f t="array" ref="S2:S4">_xlfn.SEQUENCE(3,1,10,5)</f>
        <v>10</v>
      </c>
      <c r="T2" t="str">
        <f t="array" ref="T2:U2">_xlfn.XLOOKUP("영업",Data!H2:H7,Data!F2:G7)</f>
        <v>김민준</v>
      </c>
      <c r="U2">
        <v>85</v>
      </c>
      <c r="V2" t="str">
        <f t="array" ref="V2:X2">TRANSPOSE(Data!F2:F4)</f>
        <v>김민준</v>
      </c>
      <c r="W2" t="str">
        <v>이서연</v>
      </c>
      <c r="X2" t="str">
        <v>박도윤</v>
      </c>
    </row>
    <row r="3" spans="1:24">
      <c r="A3" t="str">
        <v>박도윤</v>
      </c>
      <c r="B3" t="str">
        <v>박도윤</v>
      </c>
      <c r="C3">
        <v>78</v>
      </c>
      <c r="F3" t="str">
        <v>박도윤</v>
      </c>
      <c r="G3" t="str">
        <v>한지아</v>
      </c>
      <c r="H3">
        <v>7</v>
      </c>
      <c r="I3">
        <v>18</v>
      </c>
      <c r="J3" t="str">
        <v>감</v>
      </c>
      <c r="K3">
        <v>18</v>
      </c>
      <c r="L3" t="str">
        <v>개발</v>
      </c>
      <c r="N3" t="str">
        <v>할인</v>
      </c>
      <c r="O3" t="str">
        <v>영업</v>
      </c>
      <c r="P3">
        <v>4</v>
      </c>
      <c r="Q3">
        <v>5</v>
      </c>
      <c r="R3">
        <v>6</v>
      </c>
      <c r="S3">
        <v>15</v>
      </c>
    </row>
    <row r="4" spans="1:24">
      <c r="A4" t="str">
        <v>한지아</v>
      </c>
      <c r="B4" t="str">
        <v>한지아</v>
      </c>
      <c r="C4" t="str">
        <v>결석</v>
      </c>
      <c r="F4" t="str">
        <v>한지아</v>
      </c>
      <c r="H4">
        <v>12</v>
      </c>
      <c r="I4">
        <v>12</v>
      </c>
      <c r="J4" t="str">
        <v>사과</v>
      </c>
      <c r="K4">
        <v>12</v>
      </c>
      <c r="L4" t="str">
        <v>인사</v>
      </c>
      <c r="N4" t="str">
        <v>품절</v>
      </c>
      <c r="O4" t="str">
        <v>인사</v>
      </c>
      <c r="S4">
        <v>20</v>
      </c>
    </row>
    <row r="5" spans="1:24">
      <c r="H5">
        <v>18</v>
      </c>
      <c r="I5">
        <v>7</v>
      </c>
      <c r="J5" t="str">
        <v>배</v>
      </c>
      <c r="K5">
        <v>7</v>
      </c>
    </row>
    <row r="6" spans="1:24">
      <c r="H6">
        <v>30</v>
      </c>
      <c r="I6">
        <v>5</v>
      </c>
      <c r="J6" t="str">
        <v>포도</v>
      </c>
      <c r="K6">
        <v>5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2026-10-23T05:22:37Z</dcterms:created>
  <dcterms:modified xsi:type="dcterms:W3CDTF">2026-10-23T05:22:37Z</dcterms:modified>
  <cp:category/>
  <cp:contentStatus/>
</cp:coreProperties>
</file>