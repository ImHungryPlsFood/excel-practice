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D4_Exponent" sheetId="2" r:id="rId2"/>
    <sheet name="D5_Cycle" sheetId="3" r:id="rId3"/>
    <sheet name="D6_NumToText" sheetId="4" r:id="rId4"/>
    <sheet name="D7_IndexZero" sheetId="5" r:id="rId5"/>
    <sheet name="D8_Unsupported" sheetId="6" r:id="rId6"/>
    <sheet name="ConcatRange" sheetId="7" r:id="rId7"/>
    <sheet name="Text" sheetId="8" r:id="rId8"/>
    <sheet name="DateTime" sheetId="9" r:id="rId9"/>
    <sheet name="Lookup" sheetId="10" r:id="rId10"/>
    <sheet name="Aggregate" sheetId="11" r:id="rId11"/>
    <sheet name="DynamicArrays" sheetId="12" r:id="rId12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상품</t>
        </is>
      </c>
      <c r="B1" t="inlineStr">
        <is>
          <t xml:space="preserve">수량</t>
        </is>
      </c>
      <c r="C1" t="inlineStr">
        <is>
          <t xml:space="preserve">단가</t>
        </is>
      </c>
      <c r="D1" t="inlineStr">
        <is>
          <t xml:space="preserve">비고</t>
        </is>
      </c>
      <c r="F1" t="inlineStr">
        <is>
          <t xml:space="preserve">이름</t>
        </is>
      </c>
      <c r="G1" t="inlineStr">
        <is>
          <t xml:space="preserve">점수</t>
        </is>
      </c>
      <c r="H1" t="inlineStr">
        <is>
          <t xml:space="preserve">부서</t>
        </is>
      </c>
      <c r="J1" t="inlineStr">
        <is>
          <t xml:space="preserve">기준점</t>
        </is>
      </c>
      <c r="K1" t="inlineStr">
        <is>
          <t xml:space="preserve">등급</t>
        </is>
      </c>
      <c r="M1" t="inlineStr">
        <is>
          <t xml:space="preserve">내림차순</t>
        </is>
      </c>
    </row>
    <row r="2">
      <c r="A2" t="inlineStr">
        <is>
          <t xml:space="preserve">사과</t>
        </is>
      </c>
      <c r="B2">
        <v>12</v>
      </c>
      <c r="C2">
        <v>1200</v>
      </c>
      <c r="F2" t="inlineStr">
        <is>
          <t xml:space="preserve">김민준</t>
        </is>
      </c>
      <c r="G2">
        <v>85</v>
      </c>
      <c r="H2" t="inlineStr">
        <is>
          <t xml:space="preserve">영업</t>
        </is>
      </c>
      <c r="J2">
        <v>0</v>
      </c>
      <c r="K2" t="inlineStr">
        <is>
          <t xml:space="preserve">F</t>
        </is>
      </c>
      <c r="M2">
        <v>90</v>
      </c>
    </row>
    <row r="3">
      <c r="A3" t="inlineStr">
        <is>
          <t xml:space="preserve">배</t>
        </is>
      </c>
      <c r="B3">
        <v>7</v>
      </c>
      <c r="C3">
        <v>2500</v>
      </c>
      <c r="D3" t="inlineStr">
        <is>
          <t xml:space="preserve">할인</t>
        </is>
      </c>
      <c r="F3" t="inlineStr">
        <is>
          <t xml:space="preserve">이서연</t>
        </is>
      </c>
      <c r="G3">
        <v>92</v>
      </c>
      <c r="H3" t="inlineStr">
        <is>
          <t xml:space="preserve">개발</t>
        </is>
      </c>
      <c r="J3">
        <v>60</v>
      </c>
      <c r="K3" t="inlineStr">
        <is>
          <t xml:space="preserve">D</t>
        </is>
      </c>
      <c r="M3">
        <v>80</v>
      </c>
    </row>
    <row r="4">
      <c r="A4" t="inlineStr">
        <is>
          <t xml:space="preserve">귤</t>
        </is>
      </c>
      <c r="B4">
        <v>30</v>
      </c>
      <c r="C4">
        <v>400</v>
      </c>
      <c r="F4" t="inlineStr">
        <is>
          <t xml:space="preserve">박도윤</t>
        </is>
      </c>
      <c r="G4">
        <v>78</v>
      </c>
      <c r="H4" t="inlineStr">
        <is>
          <t xml:space="preserve">영업</t>
        </is>
      </c>
      <c r="J4">
        <v>70</v>
      </c>
      <c r="K4" t="inlineStr">
        <is>
          <t xml:space="preserve">C</t>
        </is>
      </c>
      <c r="M4">
        <v>70</v>
      </c>
    </row>
    <row r="5">
      <c r="A5" t="inlineStr">
        <is>
          <t xml:space="preserve">포도</t>
        </is>
      </c>
      <c r="B5">
        <v>5</v>
      </c>
      <c r="C5">
        <v>3200</v>
      </c>
      <c r="D5" t="inlineStr">
        <is>
          <t xml:space="preserve">할인</t>
        </is>
      </c>
      <c r="F5" t="inlineStr">
        <is>
          <t xml:space="preserve">최하은</t>
        </is>
      </c>
      <c r="H5" t="inlineStr">
        <is>
          <t xml:space="preserve">개발</t>
        </is>
      </c>
      <c r="J5">
        <v>80</v>
      </c>
      <c r="K5" t="inlineStr">
        <is>
          <t xml:space="preserve">B</t>
        </is>
      </c>
      <c r="M5">
        <v>60</v>
      </c>
    </row>
    <row r="6">
      <c r="A6" t="inlineStr">
        <is>
          <t xml:space="preserve">감</t>
        </is>
      </c>
      <c r="B6">
        <v>18</v>
      </c>
      <c r="C6">
        <v>900</v>
      </c>
      <c r="D6" t="inlineStr">
        <is>
          <t xml:space="preserve">품절</t>
        </is>
      </c>
      <c r="F6" t="inlineStr">
        <is>
          <t xml:space="preserve">정시우</t>
        </is>
      </c>
      <c r="G6">
        <v>64</v>
      </c>
      <c r="H6" t="inlineStr">
        <is>
          <t xml:space="preserve">인사</t>
        </is>
      </c>
      <c r="J6">
        <v>90</v>
      </c>
      <c r="K6" t="inlineStr">
        <is>
          <t xml:space="preserve">A</t>
        </is>
      </c>
      <c r="M6">
        <v>0</v>
      </c>
    </row>
    <row r="7">
      <c r="F7" t="inlineStr">
        <is>
          <t xml:space="preserve">한지아</t>
        </is>
      </c>
      <c r="G7" t="inlineStr">
        <is>
          <t xml:space="preserve">결석</t>
        </is>
      </c>
      <c r="H7" t="inlineStr">
        <is>
          <t xml:space="preserve">영업</t>
        </is>
      </c>
    </row>
  </sheetData>
</worksheet>
</file>

<file path=xl/worksheets/sheet2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1E+3</f>
      </c>
      <c r="D2" t="inlineStr">
        <is>
          <t xml:space="preserve">양의 지수(부호 포함)</t>
        </is>
      </c>
      <c r="E2" t="inlineStr">
        <is>
          <t xml:space="preserve">값(원본수식)</t>
        </is>
      </c>
    </row>
    <row r="3">
      <c r="C3">
        <f>1E3</f>
      </c>
      <c r="D3" t="inlineStr">
        <is>
          <t xml:space="preserve">양의 지수(부호 없음)</t>
        </is>
      </c>
      <c r="E3" t="inlineStr">
        <is>
          <t xml:space="preserve">값(원본수식)</t>
        </is>
      </c>
    </row>
    <row r="4">
      <c r="C4">
        <f>2.5E-1</f>
      </c>
      <c r="D4" t="inlineStr">
        <is>
          <t xml:space="preserve">음의 지수</t>
        </is>
      </c>
      <c r="E4" t="inlineStr">
        <is>
          <t xml:space="preserve">값(원본수식)</t>
        </is>
      </c>
    </row>
    <row r="5">
      <c r="C5">
        <f>1.5E2</f>
      </c>
      <c r="D5" t="inlineStr">
        <is>
          <t xml:space="preserve">대문자 E, 소수 가수</t>
        </is>
      </c>
      <c r="E5" t="inlineStr">
        <is>
          <t xml:space="preserve">값(원본수식)</t>
        </is>
      </c>
    </row>
    <row r="6">
      <c r="C6">
        <f>1.5e2</f>
      </c>
      <c r="D6" t="inlineStr">
        <is>
          <t xml:space="preserve">소문자 e</t>
        </is>
      </c>
      <c r="E6" t="inlineStr">
        <is>
          <t xml:space="preserve">값(원본수식)</t>
        </is>
      </c>
    </row>
    <row r="7">
      <c r="A7">
        <v>2</v>
      </c>
      <c r="C7">
        <f>A7*1E+3</f>
      </c>
      <c r="D7" t="inlineStr">
        <is>
          <t xml:space="preserve">셀 참조와 지수 표기 곱</t>
        </is>
      </c>
      <c r="E7" t="inlineStr">
        <is>
          <t xml:space="preserve">값(원본수식)</t>
        </is>
      </c>
    </row>
    <row r="8">
      <c r="C8">
        <f>1E+3+1E-3</f>
      </c>
      <c r="D8" t="inlineStr">
        <is>
          <t xml:space="preserve">지수 표기 두 개</t>
        </is>
      </c>
      <c r="E8" t="inlineStr">
        <is>
          <t xml:space="preserve">값(원본수식)</t>
        </is>
      </c>
    </row>
    <row r="9">
      <c r="C9">
        <f>"x"&amp;1E+3</f>
      </c>
      <c r="D9" t="inlineStr">
        <is>
          <t xml:space="preserve">문자열 연결 안의 지수 표기</t>
        </is>
      </c>
      <c r="E9" t="inlineStr">
        <is>
          <t xml:space="preserve">값(원본수식)</t>
        </is>
      </c>
    </row>
  </sheetData>
</worksheet>
</file>

<file path=xl/worksheets/sheet3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C2+1</f>
      </c>
      <c r="D2" t="inlineStr">
        <is>
          <t xml:space="preserve">자기 자신을 참조</t>
        </is>
      </c>
      <c r="E2" t="inlineStr">
        <is>
          <t xml:space="preserve">Excel만</t>
        </is>
      </c>
    </row>
    <row r="3">
      <c r="C3">
        <f>C4</f>
      </c>
      <c r="D3" t="inlineStr">
        <is>
          <t xml:space="preserve">두 셀이 서로 참조(1)</t>
        </is>
      </c>
      <c r="E3" t="inlineStr">
        <is>
          <t xml:space="preserve">Excel만</t>
        </is>
      </c>
    </row>
    <row r="4">
      <c r="C4">
        <f>C3+1</f>
      </c>
      <c r="D4" t="inlineStr">
        <is>
          <t xml:space="preserve">두 셀이 서로 참조(2)</t>
        </is>
      </c>
      <c r="E4" t="inlineStr">
        <is>
          <t xml:space="preserve">Excel만</t>
        </is>
      </c>
    </row>
    <row r="5">
      <c r="C5">
        <f>SUM(C5:C6)</f>
      </c>
      <c r="D5" t="inlineStr">
        <is>
          <t xml:space="preserve">범위가 자기 자신을 포함</t>
        </is>
      </c>
      <c r="E5" t="inlineStr">
        <is>
          <t xml:space="preserve">Excel만</t>
        </is>
      </c>
    </row>
    <row r="6">
      <c r="C6">
        <f>IFERROR(C6,"대체")</f>
      </c>
      <c r="D6" t="inlineStr">
        <is>
          <t xml:space="preserve">순환 참조를 IFERROR로 감싼 셀</t>
        </is>
      </c>
      <c r="E6" t="inlineStr">
        <is>
          <t xml:space="preserve">Excel만</t>
        </is>
      </c>
    </row>
  </sheetData>
</worksheet>
</file>

<file path=xl/worksheets/sheet4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"x"&amp;(0.1+0.2)</f>
      </c>
      <c r="D2" t="inlineStr">
        <is>
          <t xml:space="preserve">&amp; : 0.30000000000000004</t>
        </is>
      </c>
      <c r="E2" t="inlineStr">
        <is>
          <t xml:space="preserve">값</t>
        </is>
      </c>
    </row>
    <row r="3">
      <c r="C3">
        <f>CONCATENATE("x",0.1+0.2)</f>
      </c>
      <c r="D3" t="inlineStr">
        <is>
          <t xml:space="preserve">CONCATENATE</t>
        </is>
      </c>
      <c r="E3" t="inlineStr">
        <is>
          <t xml:space="preserve">값</t>
        </is>
      </c>
    </row>
    <row r="4">
      <c r="C4">
        <f>_xlfn.CONCAT("x",0.1+0.2)</f>
      </c>
      <c r="D4" t="inlineStr">
        <is>
          <t xml:space="preserve">CONCAT (어댑터가 15자리 규칙 적용)</t>
        </is>
      </c>
      <c r="E4" t="inlineStr">
        <is>
          <t xml:space="preserve">값</t>
        </is>
      </c>
    </row>
    <row r="5">
      <c r="C5">
        <f>"x"&amp;(1/3)</f>
      </c>
      <c r="D5" t="inlineStr">
        <is>
          <t xml:space="preserve">&amp; : 순환소수</t>
        </is>
      </c>
      <c r="E5" t="inlineStr">
        <is>
          <t xml:space="preserve">값</t>
        </is>
      </c>
    </row>
    <row r="6">
      <c r="C6">
        <f>"x"&amp;(2/3)</f>
      </c>
      <c r="D6" t="inlineStr">
        <is>
          <t xml:space="preserve">&amp; : 반올림 방향이 바뀌는 순환소수</t>
        </is>
      </c>
      <c r="E6" t="inlineStr">
        <is>
          <t xml:space="preserve">값</t>
        </is>
      </c>
    </row>
    <row r="7">
      <c r="C7">
        <f>"x"&amp;(1/7)</f>
      </c>
      <c r="D7" t="inlineStr">
        <is>
          <t xml:space="preserve">&amp; : 15자리 경계</t>
        </is>
      </c>
      <c r="E7" t="inlineStr">
        <is>
          <t xml:space="preserve">값</t>
        </is>
      </c>
    </row>
    <row r="8">
      <c r="C8">
        <f>"x"&amp;1234567890123456</f>
      </c>
      <c r="D8" t="inlineStr">
        <is>
          <t xml:space="preserve">&amp; : 16자리 정수</t>
        </is>
      </c>
      <c r="E8" t="inlineStr">
        <is>
          <t xml:space="preserve">값</t>
        </is>
      </c>
    </row>
    <row r="9">
      <c r="C9">
        <f>"x"&amp;123456789012345678</f>
      </c>
      <c r="D9" t="inlineStr">
        <is>
          <t xml:space="preserve">&amp; : 18자리 정수(과학 표기로 바뀜)</t>
        </is>
      </c>
      <c r="E9" t="inlineStr">
        <is>
          <t xml:space="preserve">값</t>
        </is>
      </c>
    </row>
    <row r="10">
      <c r="C10">
        <f>"x"&amp;(10^15)</f>
      </c>
      <c r="D10" t="inlineStr">
        <is>
          <t xml:space="preserve">&amp; : 1E+15</t>
        </is>
      </c>
      <c r="E10" t="inlineStr">
        <is>
          <t xml:space="preserve">값</t>
        </is>
      </c>
    </row>
    <row r="11">
      <c r="C11">
        <f>"x"&amp;(10^20)</f>
      </c>
      <c r="D11" t="inlineStr">
        <is>
          <t xml:space="preserve">&amp; : 1E+20</t>
        </is>
      </c>
      <c r="E11" t="inlineStr">
        <is>
          <t xml:space="preserve">값</t>
        </is>
      </c>
    </row>
    <row r="12">
      <c r="C12">
        <f>"x"&amp;(1/10000000)</f>
      </c>
      <c r="D12" t="inlineStr">
        <is>
          <t xml:space="preserve">&amp; : 1E-07</t>
        </is>
      </c>
      <c r="E12" t="inlineStr">
        <is>
          <t xml:space="preserve">값</t>
        </is>
      </c>
    </row>
    <row r="13">
      <c r="C13">
        <f>"x"&amp;0.000123</f>
      </c>
      <c r="D13" t="inlineStr">
        <is>
          <t xml:space="preserve">&amp; : 0.000123</t>
        </is>
      </c>
      <c r="E13" t="inlineStr">
        <is>
          <t xml:space="preserve">값</t>
        </is>
      </c>
    </row>
    <row r="14">
      <c r="C14">
        <f>"x"&amp;-0.5</f>
      </c>
      <c r="D14" t="inlineStr">
        <is>
          <t xml:space="preserve">&amp; : 음수</t>
        </is>
      </c>
      <c r="E14" t="inlineStr">
        <is>
          <t xml:space="preserve">값</t>
        </is>
      </c>
    </row>
    <row r="15">
      <c r="C15">
        <f>LEN(0.1+0.2)</f>
      </c>
      <c r="D15" t="inlineStr">
        <is>
          <t xml:space="preserve">LEN 안에서의 변환</t>
        </is>
      </c>
      <c r="E15" t="inlineStr">
        <is>
          <t xml:space="preserve">값</t>
        </is>
      </c>
    </row>
    <row r="16">
      <c r="C16">
        <f>LEN(1/3)</f>
      </c>
      <c r="D16" t="inlineStr">
        <is>
          <t xml:space="preserve">LEN : 순환소수</t>
        </is>
      </c>
      <c r="E16" t="inlineStr">
        <is>
          <t xml:space="preserve">값</t>
        </is>
      </c>
    </row>
    <row r="17">
      <c r="C17">
        <f>LEFT(1/3,5)</f>
      </c>
      <c r="D17" t="inlineStr">
        <is>
          <t xml:space="preserve">LEFT : 숫자를 문자열로</t>
        </is>
      </c>
      <c r="E17" t="inlineStr">
        <is>
          <t xml:space="preserve">값</t>
        </is>
      </c>
    </row>
    <row r="18">
      <c r="C18">
        <f>(0.1+0.2)=0.3</f>
      </c>
      <c r="D18" t="inlineStr">
        <is>
          <t xml:space="preserve">15자리 비교(연관 확인)</t>
        </is>
      </c>
      <c r="E18" t="inlineStr">
        <is>
          <t xml:space="preserve">값</t>
        </is>
      </c>
    </row>
    <row r="19">
      <c r="C19">
        <f>_xlfn.TEXTJOIN(",",TRUE,0.1+0.2,1/3)</f>
      </c>
      <c r="D19" t="inlineStr">
        <is>
          <t xml:space="preserve">TEXTJOIN 안에서의 변환</t>
        </is>
      </c>
      <c r="E19" t="inlineStr">
        <is>
          <t xml:space="preserve">값</t>
        </is>
      </c>
    </row>
  </sheetData>
</worksheet>
</file>

<file path=xl/worksheets/sheet5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SUM(INDEX(Data!B2:C6,0,2))</f>
      </c>
      <c r="D2" t="inlineStr">
        <is>
          <t xml:space="preserve">열 전체(단가 열) 합계</t>
        </is>
      </c>
      <c r="E2" t="inlineStr">
        <is>
          <t xml:space="preserve">차이기록</t>
        </is>
      </c>
    </row>
    <row r="3">
      <c r="C3">
        <f>SUM(INDEX(Data!B2:C6,2,0))</f>
      </c>
      <c r="D3" t="inlineStr">
        <is>
          <t xml:space="preserve">행 전체 합계</t>
        </is>
      </c>
      <c r="E3" t="inlineStr">
        <is>
          <t xml:space="preserve">차이기록</t>
        </is>
      </c>
    </row>
    <row r="4">
      <c r="C4">
        <f>ROWS(INDEX(Data!A2:C6,0,2))</f>
      </c>
      <c r="D4" t="inlineStr">
        <is>
          <t xml:space="preserve">열 전체 배열의 행 수</t>
        </is>
      </c>
      <c r="E4" t="inlineStr">
        <is>
          <t xml:space="preserve">차이기록</t>
        </is>
      </c>
    </row>
    <row r="5">
      <c r="C5">
        <f>COLUMNS(INDEX(Data!A2:C6,2,0))</f>
      </c>
      <c r="D5" t="inlineStr">
        <is>
          <t xml:space="preserve">행 전체 배열의 열 수</t>
        </is>
      </c>
      <c r="E5" t="inlineStr">
        <is>
          <t xml:space="preserve">차이기록</t>
        </is>
      </c>
    </row>
    <row r="6">
      <c r="C6">
        <f>MAX(INDEX(Data!B2:C6,0,1))</f>
      </c>
      <c r="D6" t="inlineStr">
        <is>
          <t xml:space="preserve">열 전체 최댓값</t>
        </is>
      </c>
      <c r="E6" t="inlineStr">
        <is>
          <t xml:space="preserve">차이기록</t>
        </is>
      </c>
    </row>
    <row r="7">
      <c r="C7">
        <f>SUM(INDEX(Data!B2:B6,0))</f>
      </c>
      <c r="D7" t="inlineStr">
        <is>
          <t xml:space="preserve">한 열 범위에 행 번호 0</t>
        </is>
      </c>
      <c r="E7" t="inlineStr">
        <is>
          <t xml:space="preserve">차이기록</t>
        </is>
      </c>
    </row>
    <row r="8">
      <c r="C8">
        <f>SUM(INDEX(Data!B2:C6,0,0))</f>
      </c>
      <c r="D8" t="inlineStr">
        <is>
          <t xml:space="preserve">행·열 모두 0 (범위 전체)</t>
        </is>
      </c>
      <c r="E8" t="inlineStr">
        <is>
          <t xml:space="preserve">차이기록</t>
        </is>
      </c>
    </row>
    <row r="9">
      <c r="C9">
        <f>INDEX(Data!A2:A6,-1)</f>
      </c>
      <c r="D9" t="inlineStr">
        <is>
          <t xml:space="preserve">음수 행 번호</t>
        </is>
      </c>
      <c r="E9" t="inlineStr">
        <is>
          <t xml:space="preserve">차이기록</t>
        </is>
      </c>
    </row>
    <row r="10">
      <c r="C10">
        <f>INDEX(Data!A2:C6,2,4)</f>
      </c>
      <c r="D10" t="inlineStr">
        <is>
          <t xml:space="preserve">열 번호 초과</t>
        </is>
      </c>
      <c r="E10" t="inlineStr">
        <is>
          <t xml:space="preserve">차이기록</t>
        </is>
      </c>
    </row>
    <row r="11">
      <c r="C11">
        <f>INDEX(Data!A2:C6,6,1)</f>
      </c>
      <c r="D11" t="inlineStr">
        <is>
          <t xml:space="preserve">행 번호 초과</t>
        </is>
      </c>
      <c r="E11" t="inlineStr">
        <is>
          <t xml:space="preserve">차이기록</t>
        </is>
      </c>
    </row>
    <row r="12">
      <c r="C12">
        <f>INDEX(Data!A2:C6,2,-1)</f>
      </c>
      <c r="D12" t="inlineStr">
        <is>
          <t xml:space="preserve">음수 열 번호</t>
        </is>
      </c>
      <c r="E12" t="inlineStr">
        <is>
          <t xml:space="preserve">차이기록</t>
        </is>
      </c>
    </row>
    <row r="13">
      <c r="C13">
        <f>INDEX(Data!A2:C6,2)</f>
      </c>
      <c r="D13" t="inlineStr">
        <is>
          <t xml:space="preserve">여러 열 범위에 행 번호만 (첫 열)</t>
        </is>
      </c>
      <c r="E13" t="inlineStr">
        <is>
          <t xml:space="preserve">차이기록</t>
        </is>
      </c>
    </row>
    <row r="14">
      <c r="C14">
        <f>INDEX(Data!A2:C2,2)</f>
      </c>
      <c r="D14" t="inlineStr">
        <is>
          <t xml:space="preserve">한 행 범위에 번호 하나 (열 번호로 사용)</t>
        </is>
      </c>
      <c r="E14" t="inlineStr">
        <is>
          <t xml:space="preserve">차이기록</t>
        </is>
      </c>
    </row>
  </sheetData>
</worksheet>
</file>

<file path=xl/worksheets/sheet6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AVERAGEIFS(Data!G2:G7,Data!H2:H7,"영업")</f>
      </c>
      <c r="D2" t="inlineStr">
        <is>
          <t xml:space="preserve">AVERAGEIFS</t>
        </is>
      </c>
      <c r="E2" t="inlineStr">
        <is>
          <t xml:space="preserve">차이기록</t>
        </is>
      </c>
    </row>
    <row r="3">
      <c r="C3">
        <f>RANK(Data!G3,Data!G2:G7)</f>
      </c>
      <c r="D3" t="inlineStr">
        <is>
          <t xml:space="preserve">RANK 내림차순</t>
        </is>
      </c>
      <c r="E3" t="inlineStr">
        <is>
          <t xml:space="preserve">차이기록</t>
        </is>
      </c>
    </row>
    <row r="4">
      <c r="C4">
        <f>RANK(Data!G4,Data!G2:G7,1)</f>
      </c>
      <c r="D4" t="inlineStr">
        <is>
          <t xml:space="preserve">RANK 오름차순</t>
        </is>
      </c>
      <c r="E4" t="inlineStr">
        <is>
          <t xml:space="preserve">차이기록</t>
        </is>
      </c>
    </row>
    <row r="5">
      <c r="C5">
        <f>_xlfn.RANK.EQ(Data!G2,Data!G2:G7)</f>
      </c>
      <c r="D5" t="inlineStr">
        <is>
          <t xml:space="preserve">RANK.EQ</t>
        </is>
      </c>
      <c r="E5" t="inlineStr">
        <is>
          <t xml:space="preserve">차이기록</t>
        </is>
      </c>
    </row>
    <row r="6">
      <c r="C6">
        <f>_xlfn.XMATCH("박도윤",Data!F2:F7)</f>
      </c>
      <c r="D6" t="inlineStr">
        <is>
          <t xml:space="preserve">XMATCH 정확히 일치</t>
        </is>
      </c>
      <c r="E6" t="inlineStr">
        <is>
          <t xml:space="preserve">차이기록</t>
        </is>
      </c>
    </row>
    <row r="7">
      <c r="C7">
        <f>_xlfn.XMATCH(80,Data!J2:J6,-1)</f>
      </c>
      <c r="D7" t="inlineStr">
        <is>
          <t xml:space="preserve">XMATCH 작거나 같은 값</t>
        </is>
      </c>
      <c r="E7" t="inlineStr">
        <is>
          <t xml:space="preserve">차이기록</t>
        </is>
      </c>
    </row>
    <row r="8">
      <c r="C8">
        <f>LOOKUP(85,Data!J2:J6,Data!K2:K6)</f>
      </c>
      <c r="D8" t="inlineStr">
        <is>
          <t xml:space="preserve">LOOKUP 벡터 형식(근사 일치)</t>
        </is>
      </c>
      <c r="E8" t="inlineStr">
        <is>
          <t xml:space="preserve">차이기록</t>
        </is>
      </c>
    </row>
    <row r="9">
      <c r="C9">
        <f>INDEX(_xlfn.SORTBY(Data!F2:F7,Data!G2:G7,-1),1)</f>
      </c>
      <c r="D9" t="inlineStr">
        <is>
          <t xml:space="preserve">SORTBY 후 첫 값</t>
        </is>
      </c>
      <c r="E9" t="inlineStr">
        <is>
          <t xml:space="preserve">차이기록</t>
        </is>
      </c>
    </row>
    <row r="10">
      <c r="C10">
        <f>_xlfn.MODE.SNGL(Data!B2:B6,12)</f>
      </c>
      <c r="D10" t="inlineStr">
        <is>
          <t xml:space="preserve">MODE.SNGL</t>
        </is>
      </c>
      <c r="E10" t="inlineStr">
        <is>
          <t xml:space="preserve">차이기록</t>
        </is>
      </c>
    </row>
    <row r="11">
      <c r="C11">
        <f>MODE(Data!B2:B6,12)</f>
      </c>
      <c r="D11" t="inlineStr">
        <is>
          <t xml:space="preserve">MODE</t>
        </is>
      </c>
      <c r="E11" t="inlineStr">
        <is>
          <t xml:space="preserve">차이기록</t>
        </is>
      </c>
    </row>
    <row r="12">
      <c r="C12">
        <f>OFFSET(Data!A1,1,1)</f>
      </c>
      <c r="D12" t="inlineStr">
        <is>
          <t xml:space="preserve">OFFSET</t>
        </is>
      </c>
      <c r="E12" t="inlineStr">
        <is>
          <t xml:space="preserve">차이기록</t>
        </is>
      </c>
    </row>
    <row r="13">
      <c r="C13">
        <f>INDIRECT("Data!B2")</f>
      </c>
      <c r="D13" t="inlineStr">
        <is>
          <t xml:space="preserve">INDIRECT</t>
        </is>
      </c>
      <c r="E13" t="inlineStr">
        <is>
          <t xml:space="preserve">차이기록</t>
        </is>
      </c>
    </row>
    <row r="14">
      <c r="C14">
        <f>_xlfn.NUMBERVALUE("1.234,5",",",".")</f>
      </c>
      <c r="D14" t="inlineStr">
        <is>
          <t xml:space="preserve">NUMBERVALUE</t>
        </is>
      </c>
      <c r="E14" t="inlineStr">
        <is>
          <t xml:space="preserve">차이기록</t>
        </is>
      </c>
    </row>
    <row r="15">
      <c r="C15">
        <f>_xlfn.TEXTBEFORE("a-b-c","-")</f>
      </c>
      <c r="D15" t="inlineStr">
        <is>
          <t xml:space="preserve">TEXTBEFORE</t>
        </is>
      </c>
      <c r="E15" t="inlineStr">
        <is>
          <t xml:space="preserve">차이기록</t>
        </is>
      </c>
    </row>
  </sheetData>
</worksheet>
</file>

<file path=xl/worksheets/sheet7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  <c r="F1" t="inlineStr">
        <is>
          <t xml:space="preserve">문자</t>
        </is>
      </c>
      <c r="G1" t="inlineStr">
        <is>
          <t xml:space="preserve">값</t>
        </is>
      </c>
      <c r="J1" t="inlineStr">
        <is>
          <t xml:space="preserve">오류 셀</t>
        </is>
      </c>
    </row>
    <row r="2">
      <c r="C2">
        <f>_xlfn.CONCAT(Data!A2:A6)</f>
      </c>
      <c r="D2" t="inlineStr">
        <is>
          <t xml:space="preserve">한 열 범위</t>
        </is>
      </c>
      <c r="E2" t="inlineStr">
        <is>
          <t xml:space="preserve">값</t>
        </is>
      </c>
      <c r="F2" t="inlineStr">
        <is>
          <t xml:space="preserve">가</t>
        </is>
      </c>
      <c r="G2">
        <v>1.5</v>
      </c>
      <c r="J2">
        <f>1/0</f>
      </c>
    </row>
    <row r="3">
      <c r="C3">
        <f>_xlfn.CONCAT(Data!B2:C3)</f>
      </c>
      <c r="D3" t="inlineStr">
        <is>
          <t xml:space="preserve">2차원 범위는 행 우선 (12,1200,7,2500)</t>
        </is>
      </c>
      <c r="E3" t="inlineStr">
        <is>
          <t xml:space="preserve">값</t>
        </is>
      </c>
      <c r="G3" t="b">
        <v>1</v>
      </c>
    </row>
    <row r="4">
      <c r="C4">
        <f>_xlfn.CONCAT(Data!A2:A3,"-",Data!D2:D3)</f>
      </c>
      <c r="D4" t="inlineStr">
        <is>
          <t xml:space="preserve">빈 셀 건너뜀 (D2는 빈 셀)</t>
        </is>
      </c>
      <c r="E4" t="inlineStr">
        <is>
          <t xml:space="preserve">값</t>
        </is>
      </c>
      <c r="F4" t="inlineStr">
        <is>
          <t xml:space="preserve">나</t>
        </is>
      </c>
      <c r="G4">
        <v>0.30000000000000004</v>
      </c>
    </row>
    <row r="5">
      <c r="C5">
        <f>_xlfn.CONCAT(F2:F4)</f>
      </c>
      <c r="D5" t="inlineStr">
        <is>
          <t xml:space="preserve">중간 빈 셀</t>
        </is>
      </c>
      <c r="E5" t="inlineStr">
        <is>
          <t xml:space="preserve">값</t>
        </is>
      </c>
    </row>
    <row r="6">
      <c r="C6">
        <f>_xlfn.CONCAT(G2:G4)</f>
      </c>
      <c r="D6" t="inlineStr">
        <is>
          <t xml:space="preserve">숫자·논리값·긴 소수 (1.5TRUE0.3)</t>
        </is>
      </c>
      <c r="E6" t="inlineStr">
        <is>
          <t xml:space="preserve">값</t>
        </is>
      </c>
    </row>
    <row r="7">
      <c r="C7">
        <f>_xlfn.CONCAT(F2:G4)</f>
      </c>
      <c r="D7" t="inlineStr">
        <is>
          <t xml:space="preserve">문자와 숫자가 섞인 2차원 범위</t>
        </is>
      </c>
      <c r="E7" t="inlineStr">
        <is>
          <t xml:space="preserve">값</t>
        </is>
      </c>
    </row>
    <row r="8">
      <c r="C8">
        <f>_xlfn.CONCAT(Data!A2:A3,Data!A2:A3)</f>
      </c>
      <c r="D8" t="inlineStr">
        <is>
          <t xml:space="preserve">범위 인수 두 개</t>
        </is>
      </c>
      <c r="E8" t="inlineStr">
        <is>
          <t xml:space="preserve">값</t>
        </is>
      </c>
    </row>
    <row r="9">
      <c r="C9">
        <f>_xlfn.CONCAT(Data!G2:G7)</f>
      </c>
      <c r="D9" t="inlineStr">
        <is>
          <t xml:space="preserve">빈 셀·문자 섞인 점수 열</t>
        </is>
      </c>
      <c r="E9" t="inlineStr">
        <is>
          <t xml:space="preserve">값</t>
        </is>
      </c>
    </row>
    <row r="10">
      <c r="C10">
        <f>_xlfn.CONCAT(TRUE,FALSE)</f>
      </c>
      <c r="D10" t="inlineStr">
        <is>
          <t xml:space="preserve">논리값 상수</t>
        </is>
      </c>
      <c r="E10" t="inlineStr">
        <is>
          <t xml:space="preserve">값</t>
        </is>
      </c>
    </row>
    <row r="11">
      <c r="C11">
        <f>_xlfn.CONCAT(TRUE,1.5)</f>
      </c>
      <c r="D11" t="inlineStr">
        <is>
          <t xml:space="preserve">논리값과 숫자</t>
        </is>
      </c>
      <c r="E11" t="inlineStr">
        <is>
          <t xml:space="preserve">값</t>
        </is>
      </c>
    </row>
    <row r="12">
      <c r="C12">
        <f>_xlfn.CONCAT(0.1+0.2)</f>
      </c>
      <c r="D12" t="inlineStr">
        <is>
          <t xml:space="preserve">숫자는 15자리 일반 서식</t>
        </is>
      </c>
      <c r="E12" t="inlineStr">
        <is>
          <t xml:space="preserve">값</t>
        </is>
      </c>
    </row>
    <row r="13">
      <c r="C13">
        <f>_xlfn.CONCAT(1/3)</f>
      </c>
      <c r="D13" t="inlineStr">
        <is>
          <t xml:space="preserve">순환소수</t>
        </is>
      </c>
      <c r="E13" t="inlineStr">
        <is>
          <t xml:space="preserve">값</t>
        </is>
      </c>
    </row>
    <row r="14">
      <c r="C14">
        <f>_xlfn.CONCAT(J2:J3)</f>
      </c>
      <c r="D14" t="inlineStr">
        <is>
          <t xml:space="preserve">범위 안의 오류 값 전파</t>
        </is>
      </c>
      <c r="E14" t="inlineStr">
        <is>
          <t xml:space="preserve">값</t>
        </is>
      </c>
    </row>
    <row r="15">
      <c r="C15">
        <f>_xlfn.CONCAT("a",NA())</f>
      </c>
      <c r="D15" t="inlineStr">
        <is>
          <t xml:space="preserve">인수의 오류 전파(#N/A)</t>
        </is>
      </c>
      <c r="E15" t="inlineStr">
        <is>
          <t xml:space="preserve">값</t>
        </is>
      </c>
    </row>
    <row r="16">
      <c r="C16">
        <f>_xlfn.CONCAT("a",1/0,NA())</f>
      </c>
      <c r="D16" t="inlineStr">
        <is>
          <t xml:space="preserve">여러 오류는 앞의 것</t>
        </is>
      </c>
      <c r="E16" t="inlineStr">
        <is>
          <t xml:space="preserve">값</t>
        </is>
      </c>
    </row>
    <row r="17">
      <c r="C17">
        <f>_xlfn.CONCAT(Data!D2:D2)</f>
      </c>
      <c r="D17" t="inlineStr">
        <is>
          <t xml:space="preserve">빈 셀 하나뿐인 범위 (빈 문자열)</t>
        </is>
      </c>
      <c r="E17" t="inlineStr">
        <is>
          <t xml:space="preserve">값</t>
        </is>
      </c>
    </row>
    <row r="18">
      <c r="C18">
        <f>_xlfn.CONCAT("")</f>
      </c>
      <c r="D18" t="inlineStr">
        <is>
          <t xml:space="preserve">빈 문자열</t>
        </is>
      </c>
      <c r="E18" t="inlineStr">
        <is>
          <t xml:space="preserve">값</t>
        </is>
      </c>
    </row>
    <row r="19">
      <c r="C19">
        <f>LEN(_xlfn.CONCAT(REPT("a",32767)))</f>
      </c>
      <c r="D19" t="inlineStr">
        <is>
          <t xml:space="preserve">32,767자는 허용</t>
        </is>
      </c>
      <c r="E19" t="inlineStr">
        <is>
          <t xml:space="preserve">값</t>
        </is>
      </c>
    </row>
    <row r="20">
      <c r="C20">
        <f>_xlfn.CONCAT(REPT("a",32767),"b")</f>
      </c>
      <c r="D20" t="inlineStr">
        <is>
          <t xml:space="preserve">32,768자는 #VALUE!</t>
        </is>
      </c>
      <c r="E20" t="inlineStr">
        <is>
          <t xml:space="preserve">값</t>
        </is>
      </c>
    </row>
    <row r="21">
      <c r="C21">
        <f>_xlfn.CONCAT(F2:F4,G2:G4)</f>
      </c>
      <c r="D21" t="inlineStr">
        <is>
          <t xml:space="preserve">범위 두 개 (각각 펼침)</t>
        </is>
      </c>
      <c r="E21" t="inlineStr">
        <is>
          <t xml:space="preserve">값</t>
        </is>
      </c>
    </row>
  </sheetData>
</worksheet>
</file>

<file path=xl/worksheets/sheet8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LEFT(Data!F2,1)</f>
      </c>
      <c r="D2" t="inlineStr">
        <is>
          <t xml:space="preserve">LEFT 한글</t>
        </is>
      </c>
      <c r="E2" t="inlineStr">
        <is>
          <t xml:space="preserve">값</t>
        </is>
      </c>
    </row>
    <row r="3">
      <c r="C3">
        <f>LEFT("abc")</f>
      </c>
      <c r="D3" t="inlineStr">
        <is>
          <t xml:space="preserve">LEFT 글자 수 생략</t>
        </is>
      </c>
      <c r="E3" t="inlineStr">
        <is>
          <t xml:space="preserve">값</t>
        </is>
      </c>
    </row>
    <row r="4">
      <c r="C4">
        <f>LEFT("abc",10)</f>
      </c>
      <c r="D4" t="inlineStr">
        <is>
          <t xml:space="preserve">LEFT 길이 초과</t>
        </is>
      </c>
      <c r="E4" t="inlineStr">
        <is>
          <t xml:space="preserve">값</t>
        </is>
      </c>
    </row>
    <row r="5">
      <c r="C5">
        <f>LEFT("abc",-1)</f>
      </c>
      <c r="D5" t="inlineStr">
        <is>
          <t xml:space="preserve">LEFT 음수</t>
        </is>
      </c>
      <c r="E5" t="inlineStr">
        <is>
          <t xml:space="preserve">값</t>
        </is>
      </c>
    </row>
    <row r="6">
      <c r="C6">
        <f>RIGHT("abcdef",2)</f>
      </c>
      <c r="D6" t="inlineStr">
        <is>
          <t xml:space="preserve">RIGHT</t>
        </is>
      </c>
      <c r="E6" t="inlineStr">
        <is>
          <t xml:space="preserve">값</t>
        </is>
      </c>
    </row>
    <row r="7">
      <c r="C7">
        <f>RIGHT("abc")</f>
      </c>
      <c r="D7" t="inlineStr">
        <is>
          <t xml:space="preserve">RIGHT 글자 수 생략</t>
        </is>
      </c>
      <c r="E7" t="inlineStr">
        <is>
          <t xml:space="preserve">값</t>
        </is>
      </c>
    </row>
    <row r="8">
      <c r="C8">
        <f>MID("abcdef",2,3)</f>
      </c>
      <c r="D8" t="inlineStr">
        <is>
          <t xml:space="preserve">MID</t>
        </is>
      </c>
      <c r="E8" t="inlineStr">
        <is>
          <t xml:space="preserve">값</t>
        </is>
      </c>
    </row>
    <row r="9">
      <c r="C9">
        <f>MID("abc",5,2)</f>
      </c>
      <c r="D9" t="inlineStr">
        <is>
          <t xml:space="preserve">MID 시작 위치 초과</t>
        </is>
      </c>
      <c r="E9" t="inlineStr">
        <is>
          <t xml:space="preserve">값</t>
        </is>
      </c>
    </row>
    <row r="10">
      <c r="C10">
        <f>MID("abcdef",0,2)</f>
      </c>
      <c r="D10" t="inlineStr">
        <is>
          <t xml:space="preserve">MID 시작 0</t>
        </is>
      </c>
      <c r="E10" t="inlineStr">
        <is>
          <t xml:space="preserve">값</t>
        </is>
      </c>
    </row>
    <row r="11">
      <c r="C11">
        <f>MID(Data!F2,2,2)</f>
      </c>
      <c r="D11" t="inlineStr">
        <is>
          <t xml:space="preserve">MID 한글</t>
        </is>
      </c>
      <c r="E11" t="inlineStr">
        <is>
          <t xml:space="preserve">값</t>
        </is>
      </c>
    </row>
    <row r="12">
      <c r="C12">
        <f>LEN("")</f>
      </c>
      <c r="D12" t="inlineStr">
        <is>
          <t xml:space="preserve">LEN 빈 문자열</t>
        </is>
      </c>
      <c r="E12" t="inlineStr">
        <is>
          <t xml:space="preserve">값</t>
        </is>
      </c>
    </row>
    <row r="13">
      <c r="C13">
        <f>LEN(123.50)</f>
      </c>
      <c r="D13" t="inlineStr">
        <is>
          <t xml:space="preserve">LEN 숫자</t>
        </is>
      </c>
      <c r="E13" t="inlineStr">
        <is>
          <t xml:space="preserve">값</t>
        </is>
      </c>
    </row>
    <row r="14">
      <c r="C14">
        <f>LEN(Data!G5)</f>
      </c>
      <c r="D14" t="inlineStr">
        <is>
          <t xml:space="preserve">LEN 빈 셀</t>
        </is>
      </c>
      <c r="E14" t="inlineStr">
        <is>
          <t xml:space="preserve">값</t>
        </is>
      </c>
    </row>
    <row r="15">
      <c r="C15">
        <f>TRIM("  a   b  ")</f>
      </c>
      <c r="D15" t="inlineStr">
        <is>
          <t xml:space="preserve">TRIM 앞뒤·중간 공백</t>
        </is>
      </c>
      <c r="E15" t="inlineStr">
        <is>
          <t xml:space="preserve">값</t>
        </is>
      </c>
    </row>
    <row r="16">
      <c r="C16">
        <f>TRIM(CHAR(160)&amp;"a")</f>
      </c>
      <c r="D16" t="inlineStr">
        <is>
          <t xml:space="preserve">TRIM은 줄바꿈 없는 공백(160)을 지우지 않음</t>
        </is>
      </c>
      <c r="E16" t="inlineStr">
        <is>
          <t xml:space="preserve">값</t>
        </is>
      </c>
    </row>
    <row r="17">
      <c r="C17">
        <f>LEN(TRIM("  a   b  "))</f>
      </c>
      <c r="D17" t="inlineStr">
        <is>
          <t xml:space="preserve">TRIM 후 글자 수</t>
        </is>
      </c>
      <c r="E17" t="inlineStr">
        <is>
          <t xml:space="preserve">값</t>
        </is>
      </c>
    </row>
    <row r="18">
      <c r="C18">
        <f>_xlfn.TEXTJOIN(",",TRUE,Data!F2:F4)</f>
      </c>
      <c r="D18" t="inlineStr">
        <is>
          <t xml:space="preserve">TEXTJOIN 정상</t>
        </is>
      </c>
      <c r="E18" t="inlineStr">
        <is>
          <t xml:space="preserve">값</t>
        </is>
      </c>
    </row>
    <row r="19">
      <c r="C19">
        <f>_xlfn.TEXTJOIN(",",TRUE,Data!G4:G6)</f>
      </c>
      <c r="D19" t="inlineStr">
        <is>
          <t xml:space="preserve">TEXTJOIN 빈 셀 무시</t>
        </is>
      </c>
      <c r="E19" t="inlineStr">
        <is>
          <t xml:space="preserve">값</t>
        </is>
      </c>
    </row>
    <row r="20">
      <c r="C20">
        <f>_xlfn.TEXTJOIN(",",FALSE,Data!G4:G6)</f>
      </c>
      <c r="D20" t="inlineStr">
        <is>
          <t xml:space="preserve">TEXTJOIN 빈 셀 포함</t>
        </is>
      </c>
      <c r="E20" t="inlineStr">
        <is>
          <t xml:space="preserve">값</t>
        </is>
      </c>
    </row>
    <row r="21">
      <c r="C21">
        <f>_xlfn.TEXTJOIN("-",TRUE,Data!F2:F3,Data!H2:H3)</f>
      </c>
      <c r="D21" t="inlineStr">
        <is>
          <t xml:space="preserve">TEXTJOIN 범위 두 개</t>
        </is>
      </c>
      <c r="E21" t="inlineStr">
        <is>
          <t xml:space="preserve">값</t>
        </is>
      </c>
    </row>
    <row r="22">
      <c r="C22">
        <f>_xlfn.TEXTJOIN(", ",TRUE,"a","","b")</f>
      </c>
      <c r="D22" t="inlineStr">
        <is>
          <t xml:space="preserve">TEXTJOIN 빈 문자열 인수 무시</t>
        </is>
      </c>
      <c r="E22" t="inlineStr">
        <is>
          <t xml:space="preserve">값</t>
        </is>
      </c>
    </row>
    <row r="23">
      <c r="C23">
        <f>_xlfn.TEXTJOIN(",",FALSE,"a","","b")</f>
      </c>
      <c r="D23" t="inlineStr">
        <is>
          <t xml:space="preserve">TEXTJOIN 빈 문자열 인수 포함</t>
        </is>
      </c>
      <c r="E23" t="inlineStr">
        <is>
          <t xml:space="preserve">값</t>
        </is>
      </c>
    </row>
    <row r="24">
      <c r="C24">
        <f>_xlfn.TEXTJOIN(",",TRUE,Data!A2:C3)</f>
      </c>
      <c r="D24" t="inlineStr">
        <is>
          <t xml:space="preserve">TEXTJOIN 2차원 범위</t>
        </is>
      </c>
      <c r="E24" t="inlineStr">
        <is>
          <t xml:space="preserve">값</t>
        </is>
      </c>
    </row>
    <row r="25">
      <c r="C25">
        <f>_xlfn.TEXTJOIN(,TRUE,"a","b")</f>
      </c>
      <c r="D25" t="inlineStr">
        <is>
          <t xml:space="preserve">TEXTJOIN 구분 기호 생략</t>
        </is>
      </c>
      <c r="E25" t="inlineStr">
        <is>
          <t xml:space="preserve">값</t>
        </is>
      </c>
    </row>
    <row r="26">
      <c r="C26">
        <f>UPPER("hello")&amp;LOWER("WORLD")&amp;PROPER("hello world")</f>
      </c>
      <c r="D26" t="inlineStr">
        <is>
          <t xml:space="preserve">UPPER·LOWER·PROPER</t>
        </is>
      </c>
      <c r="E26" t="inlineStr">
        <is>
          <t xml:space="preserve">값</t>
        </is>
      </c>
    </row>
    <row r="27">
      <c r="C27">
        <f>FIND("b","abcb")</f>
      </c>
      <c r="D27" t="inlineStr">
        <is>
          <t xml:space="preserve">FIND</t>
        </is>
      </c>
      <c r="E27" t="inlineStr">
        <is>
          <t xml:space="preserve">값</t>
        </is>
      </c>
    </row>
    <row r="28">
      <c r="C28">
        <f>FIND("B","abc")</f>
      </c>
      <c r="D28" t="inlineStr">
        <is>
          <t xml:space="preserve">FIND 대소문자 구분</t>
        </is>
      </c>
      <c r="E28" t="inlineStr">
        <is>
          <t xml:space="preserve">값</t>
        </is>
      </c>
    </row>
    <row r="29">
      <c r="C29">
        <f>SEARCH("B","abc")</f>
      </c>
      <c r="D29" t="inlineStr">
        <is>
          <t xml:space="preserve">SEARCH 대소문자 무시</t>
        </is>
      </c>
      <c r="E29" t="inlineStr">
        <is>
          <t xml:space="preserve">값</t>
        </is>
      </c>
    </row>
    <row r="30">
      <c r="C30">
        <f>SUBSTITUTE("a-b-c","-","+")</f>
      </c>
      <c r="D30" t="inlineStr">
        <is>
          <t xml:space="preserve">SUBSTITUTE</t>
        </is>
      </c>
      <c r="E30" t="inlineStr">
        <is>
          <t xml:space="preserve">값</t>
        </is>
      </c>
    </row>
    <row r="31">
      <c r="C31">
        <f>REPLACE("abcdef",2,3,"X")</f>
      </c>
      <c r="D31" t="inlineStr">
        <is>
          <t xml:space="preserve">REPLACE</t>
        </is>
      </c>
      <c r="E31" t="inlineStr">
        <is>
          <t xml:space="preserve">값</t>
        </is>
      </c>
    </row>
    <row r="32">
      <c r="C32">
        <f>VALUE("123")+1</f>
      </c>
      <c r="D32" t="inlineStr">
        <is>
          <t xml:space="preserve">VALUE</t>
        </is>
      </c>
      <c r="E32" t="inlineStr">
        <is>
          <t xml:space="preserve">값</t>
        </is>
      </c>
    </row>
    <row r="33">
      <c r="C33">
        <f>TEXT(1234.5,"#,##0.00")</f>
      </c>
      <c r="D33" t="inlineStr">
        <is>
          <t xml:space="preserve">TEXT 천 단위 구분 (부분 지원 확인)</t>
        </is>
      </c>
      <c r="E33" t="inlineStr">
        <is>
          <t xml:space="preserve">값</t>
        </is>
      </c>
    </row>
    <row r="34">
      <c r="C34">
        <f>TEXT(1234.5,"0.0")</f>
      </c>
      <c r="D34" t="inlineStr">
        <is>
          <t xml:space="preserve">TEXT 소수 한 자리</t>
        </is>
      </c>
      <c r="E34" t="inlineStr">
        <is>
          <t xml:space="preserve">값</t>
        </is>
      </c>
    </row>
    <row r="35">
      <c r="C35">
        <f>TEXT(0.256,"0%")</f>
      </c>
      <c r="D35" t="inlineStr">
        <is>
          <t xml:space="preserve">TEXT 백분율</t>
        </is>
      </c>
      <c r="E35" t="inlineStr">
        <is>
          <t xml:space="preserve">값</t>
        </is>
      </c>
    </row>
    <row r="36">
      <c r="C36">
        <f>TEXT(5,"000")</f>
      </c>
      <c r="D36" t="inlineStr">
        <is>
          <t xml:space="preserve">TEXT 앞자리 0</t>
        </is>
      </c>
      <c r="E36" t="inlineStr">
        <is>
          <t xml:space="preserve">값</t>
        </is>
      </c>
    </row>
    <row r="37">
      <c r="C37">
        <f>TEXT(DATE(2024,3,15),"yyyy-mm-dd")</f>
      </c>
      <c r="D37" t="inlineStr">
        <is>
          <t xml:space="preserve">TEXT 날짜</t>
        </is>
      </c>
      <c r="E37" t="inlineStr">
        <is>
          <t xml:space="preserve">값</t>
        </is>
      </c>
    </row>
    <row r="38">
      <c r="C38">
        <f>TEXT(DATE(2024,3,15),"yyyy")</f>
      </c>
      <c r="D38" t="inlineStr">
        <is>
          <t xml:space="preserve">TEXT 연도</t>
        </is>
      </c>
      <c r="E38" t="inlineStr">
        <is>
          <t xml:space="preserve">값</t>
        </is>
      </c>
    </row>
    <row r="39">
      <c r="C39">
        <f>TEXT(DATE(2024,3,15),"m/d")</f>
      </c>
      <c r="D39" t="inlineStr">
        <is>
          <t xml:space="preserve">TEXT 월/일</t>
        </is>
      </c>
      <c r="E39" t="inlineStr">
        <is>
          <t xml:space="preserve">값</t>
        </is>
      </c>
    </row>
  </sheetData>
</worksheet>
</file>

<file path=xl/worksheets/sheet9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TODAY()-INT(NOW())</f>
      </c>
      <c r="D2" t="inlineStr">
        <is>
          <t xml:space="preserve">TODAY와 NOW의 날짜 부분은 같다 (0)</t>
        </is>
      </c>
      <c r="E2" t="inlineStr">
        <is>
          <t xml:space="preserve">값</t>
        </is>
      </c>
    </row>
    <row r="3">
      <c r="C3">
        <f>NOW()-TODAY()&lt;1</f>
      </c>
      <c r="D3" t="inlineStr">
        <is>
          <t xml:space="preserve">NOW의 시간 부분은 1 미만 (TRUE)</t>
        </is>
      </c>
      <c r="E3" t="inlineStr">
        <is>
          <t xml:space="preserve">값</t>
        </is>
      </c>
    </row>
    <row r="4">
      <c r="C4">
        <f>ISNUMBER(TODAY())</f>
      </c>
      <c r="D4" t="inlineStr">
        <is>
          <t xml:space="preserve">TODAY는 숫자</t>
        </is>
      </c>
      <c r="E4" t="inlineStr">
        <is>
          <t xml:space="preserve">값</t>
        </is>
      </c>
    </row>
    <row r="5">
      <c r="C5">
        <f>TODAY()&gt;DATE(2024,1,1)</f>
      </c>
      <c r="D5" t="inlineStr">
        <is>
          <t xml:space="preserve">TODAY는 2024년 이후</t>
        </is>
      </c>
      <c r="E5" t="inlineStr">
        <is>
          <t xml:space="preserve">값</t>
        </is>
      </c>
    </row>
    <row r="6">
      <c r="C6">
        <f>TIME(13,30,0)</f>
      </c>
      <c r="D6" t="inlineStr">
        <is>
          <t xml:space="preserve">TIME</t>
        </is>
      </c>
      <c r="E6" t="inlineStr">
        <is>
          <t xml:space="preserve">값</t>
        </is>
      </c>
    </row>
    <row r="7">
      <c r="C7">
        <f>TIME(25,0,0)</f>
      </c>
      <c r="D7" t="inlineStr">
        <is>
          <t xml:space="preserve">TIME 24시간 넘김 (24시간 나머지)</t>
        </is>
      </c>
      <c r="E7" t="inlineStr">
        <is>
          <t xml:space="preserve">값</t>
        </is>
      </c>
    </row>
    <row r="8">
      <c r="C8">
        <f>TIME(0,90,0)</f>
      </c>
      <c r="D8" t="inlineStr">
        <is>
          <t xml:space="preserve">TIME 분 넘김</t>
        </is>
      </c>
      <c r="E8" t="inlineStr">
        <is>
          <t xml:space="preserve">값</t>
        </is>
      </c>
    </row>
    <row r="9">
      <c r="C9">
        <f>HOUR(TIME(13,30,45))</f>
      </c>
      <c r="D9" t="inlineStr">
        <is>
          <t xml:space="preserve">HOUR</t>
        </is>
      </c>
      <c r="E9" t="inlineStr">
        <is>
          <t xml:space="preserve">값</t>
        </is>
      </c>
    </row>
    <row r="10">
      <c r="C10">
        <f>MINUTE(TIME(13,30,45))</f>
      </c>
      <c r="D10" t="inlineStr">
        <is>
          <t xml:space="preserve">MINUTE</t>
        </is>
      </c>
      <c r="E10" t="inlineStr">
        <is>
          <t xml:space="preserve">값</t>
        </is>
      </c>
    </row>
    <row r="11">
      <c r="C11">
        <f>SECOND(TIME(13,30,45))</f>
      </c>
      <c r="D11" t="inlineStr">
        <is>
          <t xml:space="preserve">SECOND</t>
        </is>
      </c>
      <c r="E11" t="inlineStr">
        <is>
          <t xml:space="preserve">값</t>
        </is>
      </c>
    </row>
    <row r="12">
      <c r="A12">
        <v>0.75</v>
      </c>
      <c r="C12">
        <f>HOUR(A12)</f>
      </c>
      <c r="D12" t="inlineStr">
        <is>
          <t xml:space="preserve">HOUR 소수 일련번호</t>
        </is>
      </c>
      <c r="E12" t="inlineStr">
        <is>
          <t xml:space="preserve">값</t>
        </is>
      </c>
    </row>
    <row r="13">
      <c r="C13">
        <f>TIMEVALUE("13:30")</f>
      </c>
      <c r="D13" t="inlineStr">
        <is>
          <t xml:space="preserve">TIMEVALUE</t>
        </is>
      </c>
      <c r="E13" t="inlineStr">
        <is>
          <t xml:space="preserve">값</t>
        </is>
      </c>
    </row>
    <row r="14">
      <c r="C14">
        <f>HOUR(DATE(2024,3,15)+0.5)</f>
      </c>
      <c r="D14" t="inlineStr">
        <is>
          <t xml:space="preserve">날짜+시간 값의 시</t>
        </is>
      </c>
      <c r="E14" t="inlineStr">
        <is>
          <t xml:space="preserve">값</t>
        </is>
      </c>
    </row>
    <row r="15">
      <c r="C15">
        <f>WEEKDAY(DATE(2024,3,15),2)</f>
      </c>
      <c r="D15" t="inlineStr">
        <is>
          <t xml:space="preserve">WEEKDAY 월요일=1</t>
        </is>
      </c>
      <c r="E15" t="inlineStr">
        <is>
          <t xml:space="preserve">값</t>
        </is>
      </c>
    </row>
    <row r="16">
      <c r="C16">
        <f>WEEKDAY(DATE(2024,3,15),3)</f>
      </c>
      <c r="D16" t="inlineStr">
        <is>
          <t xml:space="preserve">WEEKDAY 월요일=0</t>
        </is>
      </c>
      <c r="E16" t="inlineStr">
        <is>
          <t xml:space="preserve">값</t>
        </is>
      </c>
    </row>
    <row r="17">
      <c r="C17">
        <f>WEEKNUM(DATE(2024,3,15))</f>
      </c>
      <c r="D17" t="inlineStr">
        <is>
          <t xml:space="preserve">WEEKNUM 일요일 시작</t>
        </is>
      </c>
      <c r="E17" t="inlineStr">
        <is>
          <t xml:space="preserve">값</t>
        </is>
      </c>
    </row>
    <row r="18">
      <c r="C18">
        <f>WEEKNUM(DATE(2024,3,15),2)</f>
      </c>
      <c r="D18" t="inlineStr">
        <is>
          <t xml:space="preserve">WEEKNUM 월요일 시작</t>
        </is>
      </c>
      <c r="E18" t="inlineStr">
        <is>
          <t xml:space="preserve">값</t>
        </is>
      </c>
    </row>
    <row r="19">
      <c r="C19">
        <f>WEEKNUM(DATE(2024,1,1))</f>
      </c>
      <c r="D19" t="inlineStr">
        <is>
          <t xml:space="preserve">WEEKNUM 연초</t>
        </is>
      </c>
      <c r="E19" t="inlineStr">
        <is>
          <t xml:space="preserve">값</t>
        </is>
      </c>
    </row>
    <row r="20">
      <c r="C20">
        <f>_xlfn.ISOWEEKNUM(DATE(2024,3,15))</f>
      </c>
      <c r="D20" t="inlineStr">
        <is>
          <t xml:space="preserve">ISOWEEKNUM</t>
        </is>
      </c>
      <c r="E20" t="inlineStr">
        <is>
          <t xml:space="preserve">값</t>
        </is>
      </c>
    </row>
    <row r="21">
      <c r="C21">
        <f>_xlfn.ISOWEEKNUM(DATE(2021,1,1))</f>
      </c>
      <c r="D21" t="inlineStr">
        <is>
          <t xml:space="preserve">ISOWEEKNUM 전년도 주</t>
        </is>
      </c>
      <c r="E21" t="inlineStr">
        <is>
          <t xml:space="preserve">값</t>
        </is>
      </c>
    </row>
    <row r="22">
      <c r="C22">
        <f>EDATE(DATE(2024,1,31),1)</f>
      </c>
      <c r="D22" t="inlineStr">
        <is>
          <t xml:space="preserve">EDATE 말일: 윤년 2월 29일이어야 함</t>
        </is>
      </c>
      <c r="E22" t="inlineStr">
        <is>
          <t xml:space="preserve">값</t>
        </is>
      </c>
    </row>
    <row r="23">
      <c r="C23">
        <f>EDATE(DATE(2023,1,31),1)</f>
      </c>
      <c r="D23" t="inlineStr">
        <is>
          <t xml:space="preserve">EDATE 말일: 평년 2월 28일</t>
        </is>
      </c>
      <c r="E23" t="inlineStr">
        <is>
          <t xml:space="preserve">값</t>
        </is>
      </c>
    </row>
    <row r="24">
      <c r="C24">
        <f>EDATE(DATE(2024,1,15),1)</f>
      </c>
      <c r="D24" t="inlineStr">
        <is>
          <t xml:space="preserve">EDATE</t>
        </is>
      </c>
      <c r="E24" t="inlineStr">
        <is>
          <t xml:space="preserve">값</t>
        </is>
      </c>
    </row>
    <row r="25">
      <c r="C25">
        <f>EDATE(DATE(2024,3,31),-1)</f>
      </c>
      <c r="D25" t="inlineStr">
        <is>
          <t xml:space="preserve">EDATE 음수 개월</t>
        </is>
      </c>
      <c r="E25" t="inlineStr">
        <is>
          <t xml:space="preserve">값</t>
        </is>
      </c>
    </row>
    <row r="26">
      <c r="C26">
        <f>EDATE(DATE(2024,1,15),12)</f>
      </c>
      <c r="D26" t="inlineStr">
        <is>
          <t xml:space="preserve">EDATE 12개월</t>
        </is>
      </c>
      <c r="E26" t="inlineStr">
        <is>
          <t xml:space="preserve">값</t>
        </is>
      </c>
    </row>
    <row r="27">
      <c r="C27">
        <f>EOMONTH(DATE(2024,1,15),0)</f>
      </c>
      <c r="D27" t="inlineStr">
        <is>
          <t xml:space="preserve">EOMONTH</t>
        </is>
      </c>
      <c r="E27" t="inlineStr">
        <is>
          <t xml:space="preserve">값</t>
        </is>
      </c>
    </row>
    <row r="28">
      <c r="C28">
        <f>EOMONTH(DATE(2024,1,31),1)</f>
      </c>
      <c r="D28" t="inlineStr">
        <is>
          <t xml:space="preserve">EOMONTH 윤년 2월</t>
        </is>
      </c>
      <c r="E28" t="inlineStr">
        <is>
          <t xml:space="preserve">값</t>
        </is>
      </c>
    </row>
    <row r="29">
      <c r="C29">
        <f>EOMONTH(DATE(2023,1,31),1)</f>
      </c>
      <c r="D29" t="inlineStr">
        <is>
          <t xml:space="preserve">EOMONTH 평년 2월</t>
        </is>
      </c>
      <c r="E29" t="inlineStr">
        <is>
          <t xml:space="preserve">값</t>
        </is>
      </c>
    </row>
    <row r="30">
      <c r="C30">
        <f>EOMONTH(DATE(2024,3,15),-1)</f>
      </c>
      <c r="D30" t="inlineStr">
        <is>
          <t xml:space="preserve">EOMONTH 음수</t>
        </is>
      </c>
      <c r="E30" t="inlineStr">
        <is>
          <t xml:space="preserve">값</t>
        </is>
      </c>
    </row>
    <row r="31">
      <c r="C31">
        <f>NETWORKDAYS(DATE(2024,3,1),DATE(2024,3,15))</f>
      </c>
      <c r="D31" t="inlineStr">
        <is>
          <t xml:space="preserve">NETWORKDAYS</t>
        </is>
      </c>
      <c r="E31" t="inlineStr">
        <is>
          <t xml:space="preserve">값</t>
        </is>
      </c>
    </row>
    <row r="32">
      <c r="C32">
        <f>NETWORKDAYS(DATE(2024,3,15),DATE(2024,3,1))</f>
      </c>
      <c r="D32" t="inlineStr">
        <is>
          <t xml:space="preserve">NETWORKDAYS 거꾸로</t>
        </is>
      </c>
      <c r="E32" t="inlineStr">
        <is>
          <t xml:space="preserve">값</t>
        </is>
      </c>
    </row>
    <row r="33">
      <c r="C33">
        <f>WORKDAY(DATE(2024,3,1),5)</f>
      </c>
      <c r="D33" t="inlineStr">
        <is>
          <t xml:space="preserve">WORKDAY</t>
        </is>
      </c>
      <c r="E33" t="inlineStr">
        <is>
          <t xml:space="preserve">값</t>
        </is>
      </c>
    </row>
    <row r="34">
      <c r="C34">
        <f>WORKDAY(DATE(2024,3,1),-1)</f>
      </c>
      <c r="D34" t="inlineStr">
        <is>
          <t xml:space="preserve">WORKDAY 음수</t>
        </is>
      </c>
      <c r="E34" t="inlineStr">
        <is>
          <t xml:space="preserve">값</t>
        </is>
      </c>
    </row>
    <row r="35">
      <c r="C35">
        <f>_xlfn.DAYS(DATE(2024,3,15),DATE(2024,3,1))</f>
      </c>
      <c r="D35" t="inlineStr">
        <is>
          <t xml:space="preserve">DAYS</t>
        </is>
      </c>
      <c r="E35" t="inlineStr">
        <is>
          <t xml:space="preserve">값</t>
        </is>
      </c>
    </row>
    <row r="36">
      <c r="C36">
        <f>_xlfn.DAYS(DATE(2024,3,1),DATE(2024,3,15))</f>
      </c>
      <c r="D36" t="inlineStr">
        <is>
          <t xml:space="preserve">DAYS 음수</t>
        </is>
      </c>
      <c r="E36" t="inlineStr">
        <is>
          <t xml:space="preserve">값</t>
        </is>
      </c>
    </row>
    <row r="37">
      <c r="C37">
        <f>DAYS360(DATE(2024,1,31),DATE(2024,3,31))</f>
      </c>
      <c r="D37" t="inlineStr">
        <is>
          <t xml:space="preserve">DAYS360</t>
        </is>
      </c>
      <c r="E37" t="inlineStr">
        <is>
          <t xml:space="preserve">값</t>
        </is>
      </c>
    </row>
    <row r="38">
      <c r="C38">
        <f>YEARFRAC(DATE(2024,1,1),DATE(2024,7,1))</f>
      </c>
      <c r="D38" t="inlineStr">
        <is>
          <t xml:space="preserve">YEARFRAC 기본(30/360)</t>
        </is>
      </c>
      <c r="E38" t="inlineStr">
        <is>
          <t xml:space="preserve">값</t>
        </is>
      </c>
    </row>
    <row r="39">
      <c r="C39">
        <f>YEARFRAC(DATE(2024,1,1),DATE(2024,7,1),1)</f>
      </c>
      <c r="D39" t="inlineStr">
        <is>
          <t xml:space="preserve">YEARFRAC 실제/실제</t>
        </is>
      </c>
      <c r="E39" t="inlineStr">
        <is>
          <t xml:space="preserve">값</t>
        </is>
      </c>
    </row>
    <row r="40">
      <c r="C40">
        <f>DATEDIF(DATE(2000,5,15),DATE(2024,3,15),"Y")</f>
      </c>
      <c r="D40" t="inlineStr">
        <is>
          <t xml:space="preserve">DATEDIF Y</t>
        </is>
      </c>
      <c r="E40" t="inlineStr">
        <is>
          <t xml:space="preserve">값</t>
        </is>
      </c>
    </row>
    <row r="41">
      <c r="C41">
        <f>DATEDIF(DATE(2000,5,15),DATE(2024,3,15),"M")</f>
      </c>
      <c r="D41" t="inlineStr">
        <is>
          <t xml:space="preserve">DATEDIF M</t>
        </is>
      </c>
      <c r="E41" t="inlineStr">
        <is>
          <t xml:space="preserve">값</t>
        </is>
      </c>
    </row>
    <row r="42">
      <c r="C42">
        <f>DATEDIF(DATE(2000,5,15),DATE(2024,3,15),"D")</f>
      </c>
      <c r="D42" t="inlineStr">
        <is>
          <t xml:space="preserve">DATEDIF D</t>
        </is>
      </c>
      <c r="E42" t="inlineStr">
        <is>
          <t xml:space="preserve">값</t>
        </is>
      </c>
    </row>
    <row r="43">
      <c r="C43">
        <f>DATEDIF(DATE(2000,5,15),DATE(2024,3,15),"YM")</f>
      </c>
      <c r="D43" t="inlineStr">
        <is>
          <t xml:space="preserve">DATEDIF YM</t>
        </is>
      </c>
      <c r="E43" t="inlineStr">
        <is>
          <t xml:space="preserve">값</t>
        </is>
      </c>
    </row>
    <row r="44">
      <c r="C44">
        <f>DATEDIF(DATE(2000,5,15),DATE(2024,3,15),"YD")</f>
      </c>
      <c r="D44" t="inlineStr">
        <is>
          <t xml:space="preserve">DATEDIF YD</t>
        </is>
      </c>
      <c r="E44" t="inlineStr">
        <is>
          <t xml:space="preserve">값</t>
        </is>
      </c>
    </row>
    <row r="45">
      <c r="C45">
        <f>DATEDIF(DATE(2000,5,15),DATE(2024,3,15),"MD")</f>
      </c>
      <c r="D45" t="inlineStr">
        <is>
          <t xml:space="preserve">DATEDIF MD</t>
        </is>
      </c>
      <c r="E45" t="inlineStr">
        <is>
          <t xml:space="preserve">값</t>
        </is>
      </c>
    </row>
    <row r="46">
      <c r="C46">
        <f>DATEDIF(DATE(2024,1,31),DATE(2024,3,1),"MD")</f>
      </c>
      <c r="D46" t="inlineStr">
        <is>
          <t xml:space="preserve">DATEDIF MD 말일 경계</t>
        </is>
      </c>
      <c r="E46" t="inlineStr">
        <is>
          <t xml:space="preserve">값</t>
        </is>
      </c>
    </row>
    <row r="47">
      <c r="C47">
        <f>DATEDIF(DATE(2024,3,15),DATE(2000,5,15),"Y")</f>
      </c>
      <c r="D47" t="inlineStr">
        <is>
          <t xml:space="preserve">DATEDIF 시작이 끝보다 늦음</t>
        </is>
      </c>
      <c r="E47" t="inlineStr">
        <is>
          <t xml:space="preserve">값</t>
        </is>
      </c>
    </row>
    <row r="48">
      <c r="C48">
        <f>DATEDIF(DATE(2000,5,15),DATE(2024,3,15),"X")</f>
      </c>
      <c r="D48" t="inlineStr">
        <is>
          <t xml:space="preserve">DATEDIF 잘못된 단위</t>
        </is>
      </c>
      <c r="E48" t="inlineStr">
        <is>
          <t xml:space="preserve">값</t>
        </is>
      </c>
    </row>
    <row r="49">
      <c r="C49">
        <f>DATEDIF(DATE(2000,5,15),DATE(2024,3,15),"y")</f>
      </c>
      <c r="D49" t="inlineStr">
        <is>
          <t xml:space="preserve">DATEDIF 소문자 단위</t>
        </is>
      </c>
      <c r="E49" t="inlineStr">
        <is>
          <t xml:space="preserve">값</t>
        </is>
      </c>
    </row>
    <row r="50">
      <c r="C50">
        <f>DATE(2024,3,15)+30</f>
      </c>
      <c r="D50" t="inlineStr">
        <is>
          <t xml:space="preserve">날짜 + 일수</t>
        </is>
      </c>
      <c r="E50" t="inlineStr">
        <is>
          <t xml:space="preserve">값</t>
        </is>
      </c>
    </row>
    <row r="51">
      <c r="C51">
        <f>YEAR(DATE(2024,3,15)+30)</f>
      </c>
      <c r="D51" t="inlineStr">
        <is>
          <t xml:space="preserve">날짜 연산 후 YEAR</t>
        </is>
      </c>
      <c r="E51" t="inlineStr">
        <is>
          <t xml:space="preserve">값</t>
        </is>
      </c>
    </row>
    <row r="52">
      <c r="C52">
        <f>DATE(2024,3,15)-DATE(2024,3,1)</f>
      </c>
      <c r="D52" t="inlineStr">
        <is>
          <t xml:space="preserve">날짜 차</t>
        </is>
      </c>
      <c r="E52" t="inlineStr">
        <is>
          <t xml:space="preserve">값</t>
        </is>
      </c>
    </row>
    <row r="53">
      <c r="C53">
        <f>DATEVALUE("2024/03/15")</f>
      </c>
      <c r="D53" t="inlineStr">
        <is>
          <t xml:space="preserve">DATEVALUE 슬래시</t>
        </is>
      </c>
      <c r="E53" t="inlineStr">
        <is>
          <t xml:space="preserve">값</t>
        </is>
      </c>
    </row>
    <row r="54">
      <c r="C54">
        <f>DATEVALUE("2024-13-45")</f>
      </c>
      <c r="D54" t="inlineStr">
        <is>
          <t xml:space="preserve">DATEVALUE 잘못된 날짜</t>
        </is>
      </c>
      <c r="E54" t="inlineStr">
        <is>
          <t xml:space="preserve">값</t>
        </is>
      </c>
    </row>
  </sheetData>
</worksheet>
</file>

<file path=xl/worksheets/sheet10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VLOOKUP(85,Data!J2:K6,2,TRUE)</f>
      </c>
      <c r="D2" t="inlineStr">
        <is>
          <t xml:space="preserve">VLOOKUP 근사 일치</t>
        </is>
      </c>
      <c r="E2" t="inlineStr">
        <is>
          <t xml:space="preserve">값</t>
        </is>
      </c>
    </row>
    <row r="3">
      <c r="C3">
        <f>VLOOKUP(85,Data!J2:K6,2)</f>
      </c>
      <c r="D3" t="inlineStr">
        <is>
          <t xml:space="preserve">VLOOKUP 4번째 인수 생략(근사 일치)</t>
        </is>
      </c>
      <c r="E3" t="inlineStr">
        <is>
          <t xml:space="preserve">값</t>
        </is>
      </c>
    </row>
    <row r="4">
      <c r="C4">
        <f>VLOOKUP(59,Data!J2:K6,2,TRUE)</f>
      </c>
      <c r="D4" t="inlineStr">
        <is>
          <t xml:space="preserve">VLOOKUP 근사: 경계 바로 아래</t>
        </is>
      </c>
      <c r="E4" t="inlineStr">
        <is>
          <t xml:space="preserve">값</t>
        </is>
      </c>
    </row>
    <row r="5">
      <c r="C5">
        <f>VLOOKUP(60,Data!J2:K6,2,TRUE)</f>
      </c>
      <c r="D5" t="inlineStr">
        <is>
          <t xml:space="preserve">VLOOKUP 근사: 경계 값</t>
        </is>
      </c>
      <c r="E5" t="inlineStr">
        <is>
          <t xml:space="preserve">값</t>
        </is>
      </c>
    </row>
    <row r="6">
      <c r="C6">
        <f>VLOOKUP(-1,Data!J2:K6,2,TRUE)</f>
      </c>
      <c r="D6" t="inlineStr">
        <is>
          <t xml:space="preserve">VLOOKUP 근사: 첫 값보다 작음</t>
        </is>
      </c>
      <c r="E6" t="inlineStr">
        <is>
          <t xml:space="preserve">값</t>
        </is>
      </c>
    </row>
    <row r="7">
      <c r="C7">
        <f>VLOOKUP(1000,Data!J2:K6,2,TRUE)</f>
      </c>
      <c r="D7" t="inlineStr">
        <is>
          <t xml:space="preserve">VLOOKUP 근사: 마지막 값보다 큼</t>
        </is>
      </c>
      <c r="E7" t="inlineStr">
        <is>
          <t xml:space="preserve">값</t>
        </is>
      </c>
    </row>
    <row r="8">
      <c r="C8">
        <f>VLOOKUP("사*",Data!A2:C6,2,FALSE)</f>
      </c>
      <c r="D8" t="inlineStr">
        <is>
          <t xml:space="preserve">VLOOKUP 정확히 일치 + 와일드카드</t>
        </is>
      </c>
      <c r="E8" t="inlineStr">
        <is>
          <t xml:space="preserve">값</t>
        </is>
      </c>
    </row>
    <row r="9">
      <c r="C9">
        <f>VLOOKUP("사과",Data!A2:C6,0,FALSE)</f>
      </c>
      <c r="D9" t="inlineStr">
        <is>
          <t xml:space="preserve">VLOOKUP 열 번호 0</t>
        </is>
      </c>
      <c r="E9" t="inlineStr">
        <is>
          <t xml:space="preserve">값</t>
        </is>
      </c>
    </row>
    <row r="10">
      <c r="C10">
        <f>VLOOKUP("SA",Data!A2:C6,2,FALSE)</f>
      </c>
      <c r="D10" t="inlineStr">
        <is>
          <t xml:space="preserve">VLOOKUP 없는 값</t>
        </is>
      </c>
      <c r="E10" t="inlineStr">
        <is>
          <t xml:space="preserve">값</t>
        </is>
      </c>
    </row>
    <row r="11">
      <c r="C11">
        <f>HLOOKUP("수량",Data!A1:D6,2,FALSE)</f>
      </c>
      <c r="D11" t="inlineStr">
        <is>
          <t xml:space="preserve">HLOOKUP</t>
        </is>
      </c>
      <c r="E11" t="inlineStr">
        <is>
          <t xml:space="preserve">값</t>
        </is>
      </c>
    </row>
    <row r="12">
      <c r="C12">
        <f>HLOOKUP("단가",Data!A1:D6,6,FALSE)</f>
      </c>
      <c r="D12" t="inlineStr">
        <is>
          <t xml:space="preserve">HLOOKUP 마지막 행</t>
        </is>
      </c>
      <c r="E12" t="inlineStr">
        <is>
          <t xml:space="preserve">값</t>
        </is>
      </c>
    </row>
    <row r="13">
      <c r="C13">
        <f>MATCH(85,Data!J2:J6,1)</f>
      </c>
      <c r="D13" t="inlineStr">
        <is>
          <t xml:space="preserve">MATCH 1 (작거나 같은 최댓값)</t>
        </is>
      </c>
      <c r="E13" t="inlineStr">
        <is>
          <t xml:space="preserve">값</t>
        </is>
      </c>
    </row>
    <row r="14">
      <c r="C14">
        <f>MATCH(85,Data!J2:J6)</f>
      </c>
      <c r="D14" t="inlineStr">
        <is>
          <t xml:space="preserve">MATCH 3번째 인수 생략</t>
        </is>
      </c>
      <c r="E14" t="inlineStr">
        <is>
          <t xml:space="preserve">값</t>
        </is>
      </c>
    </row>
    <row r="15">
      <c r="C15">
        <f>MATCH(85,Data!M2:M6,-1)</f>
      </c>
      <c r="D15" t="inlineStr">
        <is>
          <t xml:space="preserve">MATCH -1 (내림차순)</t>
        </is>
      </c>
      <c r="E15" t="inlineStr">
        <is>
          <t xml:space="preserve">값</t>
        </is>
      </c>
    </row>
    <row r="16">
      <c r="C16">
        <f>MATCH("사*",Data!A2:A6,0)</f>
      </c>
      <c r="D16" t="inlineStr">
        <is>
          <t xml:space="preserve">MATCH 와일드카드</t>
        </is>
      </c>
      <c r="E16" t="inlineStr">
        <is>
          <t xml:space="preserve">값</t>
        </is>
      </c>
    </row>
    <row r="17">
      <c r="C17">
        <f>MATCH("사과",Data!A2:A6,0)</f>
      </c>
      <c r="D17" t="inlineStr">
        <is>
          <t xml:space="preserve">MATCH 정확히 일치</t>
        </is>
      </c>
      <c r="E17" t="inlineStr">
        <is>
          <t xml:space="preserve">값</t>
        </is>
      </c>
    </row>
    <row r="18">
      <c r="C18">
        <f>INDEX(Data!A2:C6,2,3)</f>
      </c>
      <c r="D18" t="inlineStr">
        <is>
          <t xml:space="preserve">INDEX 행·열</t>
        </is>
      </c>
      <c r="E18" t="inlineStr">
        <is>
          <t xml:space="preserve">값</t>
        </is>
      </c>
    </row>
    <row r="19">
      <c r="C19">
        <f>INDEX(Data!A2:A6,3)</f>
      </c>
      <c r="D19" t="inlineStr">
        <is>
          <t xml:space="preserve">INDEX 한 열 범위</t>
        </is>
      </c>
      <c r="E19" t="inlineStr">
        <is>
          <t xml:space="preserve">값</t>
        </is>
      </c>
    </row>
    <row r="20">
      <c r="C20">
        <f>INDEX(Data!D2:D6,1)</f>
      </c>
      <c r="D20" t="inlineStr">
        <is>
          <t xml:space="preserve">INDEX 빈 셀(0)</t>
        </is>
      </c>
      <c r="E20" t="inlineStr">
        <is>
          <t xml:space="preserve">값</t>
        </is>
      </c>
    </row>
    <row r="21">
      <c r="C21">
        <f>INDEX(Data!A2:C6,MATCH("귤",Data!A2:A6,0),MATCH("단가",Data!A1:C1,0))</f>
      </c>
      <c r="D21" t="inlineStr">
        <is>
          <t xml:space="preserve">INDEX+MATCH 양방향</t>
        </is>
      </c>
      <c r="E21" t="inlineStr">
        <is>
          <t xml:space="preserve">값</t>
        </is>
      </c>
    </row>
    <row r="22">
      <c r="C22">
        <f>_xlfn.XLOOKUP("영업",Data!H2:H7,Data!F2:F7)</f>
      </c>
      <c r="D22" t="inlineStr">
        <is>
          <t xml:space="preserve">XLOOKUP 정확히 일치(처음 값)</t>
        </is>
      </c>
      <c r="E22" t="inlineStr">
        <is>
          <t xml:space="preserve">값</t>
        </is>
      </c>
    </row>
    <row r="23">
      <c r="C23">
        <f>_xlfn.XLOOKUP("없음",Data!H2:H7,Data!F2:F7,"없음")</f>
      </c>
      <c r="D23" t="inlineStr">
        <is>
          <t xml:space="preserve">XLOOKUP 못 찾았을 때 대체 값</t>
        </is>
      </c>
      <c r="E23" t="inlineStr">
        <is>
          <t xml:space="preserve">값</t>
        </is>
      </c>
    </row>
    <row r="24">
      <c r="C24">
        <f>_xlfn.XLOOKUP("없음",Data!H2:H7,Data!F2:F7)</f>
      </c>
      <c r="D24" t="inlineStr">
        <is>
          <t xml:space="preserve">XLOOKUP 못 찾음 #N/A</t>
        </is>
      </c>
      <c r="E24" t="inlineStr">
        <is>
          <t xml:space="preserve">값</t>
        </is>
      </c>
    </row>
    <row r="25">
      <c r="C25">
        <f>_xlfn.XLOOKUP(85,Data!J2:J6,Data!K2:K6,"없음",-1)</f>
      </c>
      <c r="D25" t="inlineStr">
        <is>
          <t xml:space="preserve">XLOOKUP 작거나 같은 값</t>
        </is>
      </c>
      <c r="E25" t="inlineStr">
        <is>
          <t xml:space="preserve">값</t>
        </is>
      </c>
    </row>
    <row r="26">
      <c r="C26">
        <f>_xlfn.XLOOKUP(85,Data!J2:J6,Data!K2:K6,"없음",1)</f>
      </c>
      <c r="D26" t="inlineStr">
        <is>
          <t xml:space="preserve">XLOOKUP 크거나 같은 값</t>
        </is>
      </c>
      <c r="E26" t="inlineStr">
        <is>
          <t xml:space="preserve">값</t>
        </is>
      </c>
    </row>
    <row r="27">
      <c r="C27">
        <f>_xlfn.XLOOKUP(85,Data!J2:J6,Data!K2:K6)</f>
      </c>
      <c r="D27" t="inlineStr">
        <is>
          <t xml:space="preserve">XLOOKUP 정확히 일치만 → #N/A</t>
        </is>
      </c>
      <c r="E27" t="inlineStr">
        <is>
          <t xml:space="preserve">값</t>
        </is>
      </c>
    </row>
    <row r="28">
      <c r="C28">
        <f>_xlfn.XLOOKUP("*",Data!F2:F7,Data!G2:G7,"없음",2)</f>
      </c>
      <c r="D28" t="inlineStr">
        <is>
          <t xml:space="preserve">XLOOKUP 와일드카드 모드</t>
        </is>
      </c>
      <c r="E28" t="inlineStr">
        <is>
          <t xml:space="preserve">값</t>
        </is>
      </c>
    </row>
    <row r="29">
      <c r="C29">
        <f>_xlfn.XLOOKUP("한*",Data!F2:F7,Data!G2:G7,"없음",2)</f>
      </c>
      <c r="D29" t="inlineStr">
        <is>
          <t xml:space="preserve">XLOOKUP 와일드카드: 문자 값 반환</t>
        </is>
      </c>
      <c r="E29" t="inlineStr">
        <is>
          <t xml:space="preserve">값</t>
        </is>
      </c>
    </row>
    <row r="30">
      <c r="C30">
        <f>_xlfn.XLOOKUP("영업",Data!H2:H7,Data!F2:F7,,0,-1)</f>
      </c>
      <c r="D30" t="inlineStr">
        <is>
          <t xml:space="preserve">XLOOKUP 마지막부터 검색</t>
        </is>
      </c>
      <c r="E30" t="inlineStr">
        <is>
          <t xml:space="preserve">값</t>
        </is>
      </c>
    </row>
    <row r="31">
      <c r="C31">
        <f>_xlfn.XLOOKUP(85,Data!J2:J6,Data!K2:K6,"없음",-1,2)</f>
      </c>
      <c r="D31" t="inlineStr">
        <is>
          <t xml:space="preserve">XLOOKUP 이진 검색(오름차순)</t>
        </is>
      </c>
      <c r="E31" t="inlineStr">
        <is>
          <t xml:space="preserve">값</t>
        </is>
      </c>
    </row>
    <row r="32">
      <c r="C32">
        <f>_xlfn.XLOOKUP("점수",Data!F1:H1,Data!F2:H2)</f>
      </c>
      <c r="D32" t="inlineStr">
        <is>
          <t xml:space="preserve">XLOOKUP 가로 방향</t>
        </is>
      </c>
      <c r="E32" t="inlineStr">
        <is>
          <t xml:space="preserve">값</t>
        </is>
      </c>
    </row>
    <row r="33">
      <c r="C33">
        <f>_xlfn.XLOOKUP("김민준",Data!F2:F7,Data!G2:G7)</f>
      </c>
      <c r="D33" t="inlineStr">
        <is>
          <t xml:space="preserve">XLOOKUP 숫자 반환</t>
        </is>
      </c>
      <c r="E33" t="inlineStr">
        <is>
          <t xml:space="preserve">값</t>
        </is>
      </c>
    </row>
    <row r="34">
      <c r="C34">
        <f>_xlfn.XLOOKUP("Y",Data!H2:H7,Data!F2:F7,"없음")</f>
      </c>
      <c r="D34" t="inlineStr">
        <is>
          <t xml:space="preserve">XLOOKUP 일부만 같은 값은 못 찾음</t>
        </is>
      </c>
      <c r="E34" t="inlineStr">
        <is>
          <t xml:space="preserve">값</t>
        </is>
      </c>
    </row>
    <row r="35">
      <c r="C35">
        <f>_xlfn.XLOOKUP(1,Data!A2:A3,Data!B2:B4)</f>
      </c>
      <c r="D35" t="inlineStr">
        <is>
          <t xml:space="preserve">XLOOKUP 범위 크기 불일치</t>
        </is>
      </c>
      <c r="E35" t="inlineStr">
        <is>
          <t xml:space="preserve">값</t>
        </is>
      </c>
    </row>
    <row r="36">
      <c r="C36">
        <f>_xlfn.XLOOKUP(1/0,Data!H2:H7,Data!F2:F7)</f>
      </c>
      <c r="D36" t="inlineStr">
        <is>
          <t xml:space="preserve">XLOOKUP 찾는 값이 오류</t>
        </is>
      </c>
      <c r="E36" t="inlineStr">
        <is>
          <t xml:space="preserve">값</t>
        </is>
      </c>
    </row>
    <row r="37">
      <c r="C37">
        <f>_xlfn.IFNA(MATCH(999,Data!B2:B6,0),"없음")</f>
      </c>
      <c r="D37" t="inlineStr">
        <is>
          <t xml:space="preserve">IFNA #N/A 대체</t>
        </is>
      </c>
      <c r="E37" t="inlineStr">
        <is>
          <t xml:space="preserve">값</t>
        </is>
      </c>
    </row>
    <row r="38">
      <c r="C38">
        <f>_xlfn.IFNA(1/0,"없음")</f>
      </c>
      <c r="D38" t="inlineStr">
        <is>
          <t xml:space="preserve">IFNA는 #N/A만 대체 → #DIV/0!</t>
        </is>
      </c>
      <c r="E38" t="inlineStr">
        <is>
          <t xml:space="preserve">값</t>
        </is>
      </c>
    </row>
    <row r="39">
      <c r="C39">
        <f>SUM(_xlfn._xlws.FILTER(Data!G2:G7,Data!H2:H7="영업"))</f>
      </c>
      <c r="D39" t="inlineStr">
        <is>
          <t xml:space="preserve">FILTER 결과의 합 (문자 무시)</t>
        </is>
      </c>
      <c r="E39" t="inlineStr">
        <is>
          <t xml:space="preserve">값</t>
        </is>
      </c>
    </row>
    <row r="40">
      <c r="C40">
        <f>ROWS(_xlfn._xlws.FILTER(Data!F2:F7,Data!H2:H7="영업"))</f>
      </c>
      <c r="D40" t="inlineStr">
        <is>
          <t xml:space="preserve">FILTER 결과 행 수</t>
        </is>
      </c>
      <c r="E40" t="inlineStr">
        <is>
          <t xml:space="preserve">값</t>
        </is>
      </c>
    </row>
    <row r="41">
      <c r="C41">
        <f>COUNTA(_xlfn.UNIQUE(Data!H2:H7))</f>
      </c>
      <c r="D41" t="inlineStr">
        <is>
          <t xml:space="preserve">UNIQUE 개수</t>
        </is>
      </c>
      <c r="E41" t="inlineStr">
        <is>
          <t xml:space="preserve">값</t>
        </is>
      </c>
    </row>
    <row r="42">
      <c r="C42">
        <f>INDEX(_xlfn._xlws.SORT(Data!B2:B6),1)</f>
      </c>
      <c r="D42" t="inlineStr">
        <is>
          <t xml:space="preserve">SORT 후 첫 값</t>
        </is>
      </c>
      <c r="E42" t="inlineStr">
        <is>
          <t xml:space="preserve">값</t>
        </is>
      </c>
    </row>
    <row r="43">
      <c r="C43">
        <f>INDEX(_xlfn._xlws.SORT(Data!B2:B6,1,-1),1)</f>
      </c>
      <c r="D43" t="inlineStr">
        <is>
          <t xml:space="preserve">SORT 내림차순 첫 값</t>
        </is>
      </c>
      <c r="E43" t="inlineStr">
        <is>
          <t xml:space="preserve">값</t>
        </is>
      </c>
    </row>
    <row r="44">
      <c r="C44">
        <f>SUM(_xlfn.SEQUENCE(4))</f>
      </c>
      <c r="D44" t="inlineStr">
        <is>
          <t xml:space="preserve">SEQUENCE 합</t>
        </is>
      </c>
      <c r="E44" t="inlineStr">
        <is>
          <t xml:space="preserve">값</t>
        </is>
      </c>
    </row>
    <row r="45">
      <c r="C45">
        <f>INDEX(_xlfn._xlws.FILTER(Data!F2:F7,Data!G2:G7&gt;80),2)</f>
      </c>
      <c r="D45" t="inlineStr">
        <is>
          <t xml:space="preserve">FILTER 결과에서 둘째 값</t>
        </is>
      </c>
      <c r="E45" t="inlineStr">
        <is>
          <t xml:space="preserve">값</t>
        </is>
      </c>
    </row>
  </sheetData>
</worksheet>
</file>

<file path=xl/worksheets/sheet11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E1" t="inlineStr">
        <is>
          <t xml:space="preserve">비교 방식</t>
        </is>
      </c>
    </row>
    <row r="2">
      <c r="C2">
        <f>SUM(1,2,3)</f>
      </c>
      <c r="D2" t="inlineStr">
        <is>
          <t xml:space="preserve">SUM 여러 인수</t>
        </is>
      </c>
      <c r="E2" t="inlineStr">
        <is>
          <t xml:space="preserve">값</t>
        </is>
      </c>
    </row>
    <row r="3">
      <c r="C3">
        <f>SUM(Data!G2:G7,10)</f>
      </c>
      <c r="D3" t="inlineStr">
        <is>
          <t xml:space="preserve">SUM 범위와 상수</t>
        </is>
      </c>
      <c r="E3" t="inlineStr">
        <is>
          <t xml:space="preserve">값</t>
        </is>
      </c>
    </row>
    <row r="4">
      <c r="C4">
        <f>SUM("3",2)</f>
      </c>
      <c r="D4" t="inlineStr">
        <is>
          <t xml:space="preserve">SUM 숫자 문자열 직접 인수</t>
        </is>
      </c>
      <c r="E4" t="inlineStr">
        <is>
          <t xml:space="preserve">값</t>
        </is>
      </c>
    </row>
    <row r="5">
      <c r="C5">
        <f>SUM("a",2)</f>
      </c>
      <c r="D5" t="inlineStr">
        <is>
          <t xml:space="preserve">SUM 변환 불가 문자열 직접 인수</t>
        </is>
      </c>
      <c r="E5" t="inlineStr">
        <is>
          <t xml:space="preserve">값</t>
        </is>
      </c>
    </row>
    <row r="6">
      <c r="C6">
        <f>SUM(TRUE,2)</f>
      </c>
      <c r="D6" t="inlineStr">
        <is>
          <t xml:space="preserve">SUM 논리값 직접 인수</t>
        </is>
      </c>
      <c r="E6" t="inlineStr">
        <is>
          <t xml:space="preserve">값</t>
        </is>
      </c>
    </row>
    <row r="7">
      <c r="C7">
        <f>AVERAGE(1,"a")</f>
      </c>
      <c r="D7" t="inlineStr">
        <is>
          <t xml:space="preserve">AVERAGE 변환 불가 문자열</t>
        </is>
      </c>
      <c r="E7" t="inlineStr">
        <is>
          <t xml:space="preserve">값</t>
        </is>
      </c>
    </row>
    <row r="8">
      <c r="C8">
        <f>AVERAGE("3",5)</f>
      </c>
      <c r="D8" t="inlineStr">
        <is>
          <t xml:space="preserve">AVERAGE 숫자 문자열</t>
        </is>
      </c>
      <c r="E8" t="inlineStr">
        <is>
          <t xml:space="preserve">값</t>
        </is>
      </c>
    </row>
    <row r="9">
      <c r="C9">
        <f>AVERAGE(Data!D2:D2)</f>
      </c>
      <c r="D9" t="inlineStr">
        <is>
          <t xml:space="preserve">AVERAGE 빈 셀만 → #DIV/0!</t>
        </is>
      </c>
      <c r="E9" t="inlineStr">
        <is>
          <t xml:space="preserve">값</t>
        </is>
      </c>
    </row>
    <row r="10">
      <c r="C10">
        <f>MAX(Data!D2:D2)</f>
      </c>
      <c r="D10" t="inlineStr">
        <is>
          <t xml:space="preserve">MAX 빈 셀만 → 0</t>
        </is>
      </c>
      <c r="E10" t="inlineStr">
        <is>
          <t xml:space="preserve">값</t>
        </is>
      </c>
    </row>
    <row r="11">
      <c r="C11">
        <f>MIN(Data!G5:G5)</f>
      </c>
      <c r="D11" t="inlineStr">
        <is>
          <t xml:space="preserve">MIN 빈 셀만 → 0</t>
        </is>
      </c>
      <c r="E11" t="inlineStr">
        <is>
          <t xml:space="preserve">값</t>
        </is>
      </c>
    </row>
    <row r="12">
      <c r="C12">
        <f>MAX(Data!G2:G7,100)</f>
      </c>
      <c r="D12" t="inlineStr">
        <is>
          <t xml:space="preserve">MAX 범위와 상수</t>
        </is>
      </c>
      <c r="E12" t="inlineStr">
        <is>
          <t xml:space="preserve">값</t>
        </is>
      </c>
    </row>
    <row r="13">
      <c r="C13">
        <f>COUNT(1,"a",TRUE,"3")</f>
      </c>
      <c r="D13" t="inlineStr">
        <is>
          <t xml:space="preserve">COUNT 직접 인수</t>
        </is>
      </c>
      <c r="E13" t="inlineStr">
        <is>
          <t xml:space="preserve">값</t>
        </is>
      </c>
    </row>
    <row r="14">
      <c r="C14">
        <f>COUNT(Data!G2:G7)</f>
      </c>
      <c r="D14" t="inlineStr">
        <is>
          <t xml:space="preserve">COUNT 범위</t>
        </is>
      </c>
      <c r="E14" t="inlineStr">
        <is>
          <t xml:space="preserve">값</t>
        </is>
      </c>
    </row>
    <row r="15">
      <c r="C15">
        <f>COUNTA("",1)</f>
      </c>
      <c r="D15" t="inlineStr">
        <is>
          <t xml:space="preserve">COUNTA 빈 문자열은 셈</t>
        </is>
      </c>
      <c r="E15" t="inlineStr">
        <is>
          <t xml:space="preserve">값</t>
        </is>
      </c>
    </row>
    <row r="16">
      <c r="C16">
        <f>COUNTA(Data!G2:G7)</f>
      </c>
      <c r="D16" t="inlineStr">
        <is>
          <t xml:space="preserve">COUNTA 범위</t>
        </is>
      </c>
      <c r="E16" t="inlineStr">
        <is>
          <t xml:space="preserve">값</t>
        </is>
      </c>
    </row>
    <row r="17">
      <c r="C17">
        <f>COUNTBLANK(Data!G2:G7)</f>
      </c>
      <c r="D17" t="inlineStr">
        <is>
          <t xml:space="preserve">COUNTBLANK</t>
        </is>
      </c>
      <c r="E17" t="inlineStr">
        <is>
          <t xml:space="preserve">값</t>
        </is>
      </c>
    </row>
    <row r="18">
      <c r="C18">
        <f>COUNTIF(Data!G2:G7,"")</f>
      </c>
      <c r="D18" t="inlineStr">
        <is>
          <t xml:space="preserve">COUNTIF 빈 조건</t>
        </is>
      </c>
      <c r="E18" t="inlineStr">
        <is>
          <t xml:space="preserve">값</t>
        </is>
      </c>
    </row>
    <row r="19">
      <c r="C19">
        <f>COUNTIF(Data!G2:G7,"&lt;&gt;")</f>
      </c>
      <c r="D19" t="inlineStr">
        <is>
          <t xml:space="preserve">COUNTIF 비어 있지 않은 셀</t>
        </is>
      </c>
      <c r="E19" t="inlineStr">
        <is>
          <t xml:space="preserve">값</t>
        </is>
      </c>
    </row>
    <row r="20">
      <c r="C20">
        <f>COUNTIF(Data!H2:H7,"영*")</f>
      </c>
      <c r="D20" t="inlineStr">
        <is>
          <t xml:space="preserve">COUNTIF 와일드카드 *</t>
        </is>
      </c>
      <c r="E20" t="inlineStr">
        <is>
          <t xml:space="preserve">값</t>
        </is>
      </c>
    </row>
    <row r="21">
      <c r="C21">
        <f>COUNTIF(Data!G2:G7,"&gt;=78")</f>
      </c>
      <c r="D21" t="inlineStr">
        <is>
          <t xml:space="preserve">COUNTIF 비교 조건</t>
        </is>
      </c>
      <c r="E21" t="inlineStr">
        <is>
          <t xml:space="preserve">값</t>
        </is>
      </c>
    </row>
    <row r="22">
      <c r="C22">
        <f>COUNTIF(Data!G2:G7,85)</f>
      </c>
      <c r="D22" t="inlineStr">
        <is>
          <t xml:space="preserve">COUNTIF 숫자 조건</t>
        </is>
      </c>
      <c r="E22" t="inlineStr">
        <is>
          <t xml:space="preserve">값</t>
        </is>
      </c>
    </row>
    <row r="23">
      <c r="C23">
        <f>COUNTIF(Data!G2:G7,"&lt;&gt;85")</f>
      </c>
      <c r="D23" t="inlineStr">
        <is>
          <t xml:space="preserve">COUNTIF &lt;&gt;숫자</t>
        </is>
      </c>
      <c r="E23" t="inlineStr">
        <is>
          <t xml:space="preserve">값</t>
        </is>
      </c>
    </row>
    <row r="24">
      <c r="C24">
        <f>COUNTIF(Data!H2:H7,"&lt;&gt;영업")</f>
      </c>
      <c r="D24" t="inlineStr">
        <is>
          <t xml:space="preserve">COUNTIF &lt;&gt;문자</t>
        </is>
      </c>
      <c r="E24" t="inlineStr">
        <is>
          <t xml:space="preserve">값</t>
        </is>
      </c>
    </row>
    <row r="25">
      <c r="C25">
        <f>COUNTIF(Data!H2:H7,"영업 ")</f>
      </c>
      <c r="D25" t="inlineStr">
        <is>
          <t xml:space="preserve">COUNTIF 끝 공백은 다른 값</t>
        </is>
      </c>
      <c r="E25" t="inlineStr">
        <is>
          <t xml:space="preserve">값</t>
        </is>
      </c>
    </row>
    <row r="26">
      <c r="C26">
        <f>COUNTIFS(Data!H2:H7,"영*",Data!G2:G7,"&gt;=80")</f>
      </c>
      <c r="D26" t="inlineStr">
        <is>
          <t xml:space="preserve">COUNTIFS 와일드카드+비교</t>
        </is>
      </c>
      <c r="E26" t="inlineStr">
        <is>
          <t xml:space="preserve">값</t>
        </is>
      </c>
    </row>
    <row r="27">
      <c r="C27">
        <f>COUNTIFS(Data!H2:H7,"영업",Data!G2:G7,"&lt;&gt;")</f>
      </c>
      <c r="D27" t="inlineStr">
        <is>
          <t xml:space="preserve">COUNTIFS 비어 있지 않은 셀</t>
        </is>
      </c>
      <c r="E27" t="inlineStr">
        <is>
          <t xml:space="preserve">값</t>
        </is>
      </c>
    </row>
    <row r="28">
      <c r="C28">
        <f>COUNTIFS(Data!G2:G7,"&gt;70",Data!G2:G7,"&lt;90")</f>
      </c>
      <c r="D28" t="inlineStr">
        <is>
          <t xml:space="preserve">COUNTIFS 같은 범위 두 조건</t>
        </is>
      </c>
      <c r="E28" t="inlineStr">
        <is>
          <t xml:space="preserve">값</t>
        </is>
      </c>
    </row>
    <row r="29">
      <c r="C29">
        <f>SUMIF(Data!G2:G7,"&gt;80")</f>
      </c>
      <c r="D29" t="inlineStr">
        <is>
          <t xml:space="preserve">SUMIF 합계 범위 생략</t>
        </is>
      </c>
      <c r="E29" t="inlineStr">
        <is>
          <t xml:space="preserve">값</t>
        </is>
      </c>
    </row>
    <row r="30">
      <c r="C30">
        <f>SUMIF(Data!H2:H7,"&lt;&gt;영업",Data!G2:G7)</f>
      </c>
      <c r="D30" t="inlineStr">
        <is>
          <t xml:space="preserve">SUMIF &lt;&gt;문자</t>
        </is>
      </c>
      <c r="E30" t="inlineStr">
        <is>
          <t xml:space="preserve">값</t>
        </is>
      </c>
    </row>
    <row r="31">
      <c r="C31">
        <f>SUMIF(Data!H2:H7,"영*",Data!G2:G7)</f>
      </c>
      <c r="D31" t="inlineStr">
        <is>
          <t xml:space="preserve">SUMIF 와일드카드</t>
        </is>
      </c>
      <c r="E31" t="inlineStr">
        <is>
          <t xml:space="preserve">값</t>
        </is>
      </c>
    </row>
    <row r="32">
      <c r="C32">
        <f>SUMIFS(Data!G2:G7,Data!H2:H7,"영업",Data!G2:G7,"&gt;=80")</f>
      </c>
      <c r="D32" t="inlineStr">
        <is>
          <t xml:space="preserve">SUMIFS</t>
        </is>
      </c>
      <c r="E32" t="inlineStr">
        <is>
          <t xml:space="preserve">값</t>
        </is>
      </c>
    </row>
    <row r="33">
      <c r="C33">
        <f>SUMIFS(Data!G2:G7,Data!H2:H7,"없음")</f>
      </c>
      <c r="D33" t="inlineStr">
        <is>
          <t xml:space="preserve">SUMIFS 일치 없음 → 0</t>
        </is>
      </c>
      <c r="E33" t="inlineStr">
        <is>
          <t xml:space="preserve">값</t>
        </is>
      </c>
    </row>
    <row r="34">
      <c r="C34">
        <f>SUMIFS(Data!G2:G7,Data!H2:H6,"영업")</f>
      </c>
      <c r="D34" t="inlineStr">
        <is>
          <t xml:space="preserve">SUMIFS 범위 크기 불일치</t>
        </is>
      </c>
      <c r="E34" t="inlineStr">
        <is>
          <t xml:space="preserve">값</t>
        </is>
      </c>
    </row>
    <row r="35">
      <c r="C35">
        <f>IF(Data!G5="","빈칸","값")</f>
      </c>
      <c r="D35" t="inlineStr">
        <is>
          <t xml:space="preserve">IF 빈 셀 비교</t>
        </is>
      </c>
      <c r="E35" t="inlineStr">
        <is>
          <t xml:space="preserve">값</t>
        </is>
      </c>
    </row>
    <row r="36">
      <c r="C36">
        <f>IF(FALSE,1)</f>
      </c>
      <c r="D36" t="inlineStr">
        <is>
          <t xml:space="preserve">IF 거짓 값 생략</t>
        </is>
      </c>
      <c r="E36" t="inlineStr">
        <is>
          <t xml:space="preserve">값</t>
        </is>
      </c>
    </row>
    <row r="37">
      <c r="C37">
        <f>IF(0,"a","b")</f>
      </c>
      <c r="D37" t="inlineStr">
        <is>
          <t xml:space="preserve">IF 숫자 조건 0</t>
        </is>
      </c>
      <c r="E37" t="inlineStr">
        <is>
          <t xml:space="preserve">값</t>
        </is>
      </c>
    </row>
    <row r="38">
      <c r="C38">
        <f>IF("a",1,2)</f>
      </c>
      <c r="D38" t="inlineStr">
        <is>
          <t xml:space="preserve">IF 문자 조건 → #VALUE!</t>
        </is>
      </c>
      <c r="E38" t="inlineStr">
        <is>
          <t xml:space="preserve">값</t>
        </is>
      </c>
    </row>
    <row r="39">
      <c r="C39">
        <f>IF(1/0,1,2)</f>
      </c>
      <c r="D39" t="inlineStr">
        <is>
          <t xml:space="preserve">IF 오류 조건</t>
        </is>
      </c>
      <c r="E39" t="inlineStr">
        <is>
          <t xml:space="preserve">값</t>
        </is>
      </c>
    </row>
    <row r="40">
      <c r="C40">
        <f>IF(TRUE,1,1/0)</f>
      </c>
      <c r="D40" t="inlineStr">
        <is>
          <t xml:space="preserve">IF 쓰지 않는 분기의 오류</t>
        </is>
      </c>
      <c r="E40" t="inlineStr">
        <is>
          <t xml:space="preserve">값</t>
        </is>
      </c>
    </row>
    <row r="41">
      <c r="C41">
        <f>AND(1,0)</f>
      </c>
      <c r="D41" t="inlineStr">
        <is>
          <t xml:space="preserve">AND 숫자</t>
        </is>
      </c>
      <c r="E41" t="inlineStr">
        <is>
          <t xml:space="preserve">값</t>
        </is>
      </c>
    </row>
    <row r="42">
      <c r="C42">
        <f>AND(1,"a")</f>
      </c>
      <c r="D42" t="inlineStr">
        <is>
          <t xml:space="preserve">AND 문자 직접 인수 → #VALUE!</t>
        </is>
      </c>
      <c r="E42" t="inlineStr">
        <is>
          <t xml:space="preserve">값</t>
        </is>
      </c>
    </row>
    <row r="43">
      <c r="C43">
        <f>AND(TRUE,Data!H2:H3)</f>
      </c>
      <c r="D43" t="inlineStr">
        <is>
          <t xml:space="preserve">AND 범위의 문자 무시</t>
        </is>
      </c>
      <c r="E43" t="inlineStr">
        <is>
          <t xml:space="preserve">값</t>
        </is>
      </c>
    </row>
    <row r="44">
      <c r="C44">
        <f>OR(Data!H2:H3)</f>
      </c>
      <c r="D44" t="inlineStr">
        <is>
          <t xml:space="preserve">OR 논리값이 없는 범위 → #VALUE!</t>
        </is>
      </c>
      <c r="E44" t="inlineStr">
        <is>
          <t xml:space="preserve">값</t>
        </is>
      </c>
    </row>
    <row r="45">
      <c r="C45">
        <f>OR(FALSE,1)</f>
      </c>
      <c r="D45" t="inlineStr">
        <is>
          <t xml:space="preserve">OR 숫자</t>
        </is>
      </c>
      <c r="E45" t="inlineStr">
        <is>
          <t xml:space="preserve">값</t>
        </is>
      </c>
    </row>
    <row r="46">
      <c r="C46">
        <f>NOT(0)</f>
      </c>
      <c r="D46" t="inlineStr">
        <is>
          <t xml:space="preserve">NOT 숫자</t>
        </is>
      </c>
      <c r="E46" t="inlineStr">
        <is>
          <t xml:space="preserve">값</t>
        </is>
      </c>
    </row>
    <row r="47">
      <c r="C47">
        <f>IFERROR(VLOOKUP("수박",Data!A2:C6,2,FALSE),"없음")</f>
      </c>
      <c r="D47" t="inlineStr">
        <is>
          <t xml:space="preserve">IFERROR + VLOOKUP</t>
        </is>
      </c>
      <c r="E47" t="inlineStr">
        <is>
          <t xml:space="preserve">값</t>
        </is>
      </c>
    </row>
    <row r="48">
      <c r="C48">
        <f>IFERROR(Data!A2,"대체")</f>
      </c>
      <c r="D48" t="inlineStr">
        <is>
          <t xml:space="preserve">IFERROR 오류가 아님</t>
        </is>
      </c>
      <c r="E48" t="inlineStr">
        <is>
          <t xml:space="preserve">값</t>
        </is>
      </c>
    </row>
    <row r="49">
      <c r="C49">
        <f>ROUND(2.5,0)</f>
      </c>
      <c r="D49" t="inlineStr">
        <is>
          <t xml:space="preserve">ROUND 2.5</t>
        </is>
      </c>
      <c r="E49" t="inlineStr">
        <is>
          <t xml:space="preserve">값</t>
        </is>
      </c>
    </row>
    <row r="50">
      <c r="C50">
        <f>ROUND(-0.5,0)</f>
      </c>
      <c r="D50" t="inlineStr">
        <is>
          <t xml:space="preserve">ROUND -0.5</t>
        </is>
      </c>
      <c r="E50" t="inlineStr">
        <is>
          <t xml:space="preserve">값</t>
        </is>
      </c>
    </row>
    <row r="51">
      <c r="C51">
        <f>ROUND(1.005,2)</f>
      </c>
      <c r="D51" t="inlineStr">
        <is>
          <t xml:space="preserve">ROUND 1.005 (이진 표현 경계)</t>
        </is>
      </c>
      <c r="E51" t="inlineStr">
        <is>
          <t xml:space="preserve">값</t>
        </is>
      </c>
    </row>
    <row r="52">
      <c r="C52">
        <f>ROUND(0.285,2)</f>
      </c>
      <c r="D52" t="inlineStr">
        <is>
          <t xml:space="preserve">ROUND 0.285 (이진 표현 경계)</t>
        </is>
      </c>
      <c r="E52" t="inlineStr">
        <is>
          <t xml:space="preserve">값</t>
        </is>
      </c>
    </row>
    <row r="53">
      <c r="C53">
        <f>ROUND(1234.5678,-2)</f>
      </c>
      <c r="D53" t="inlineStr">
        <is>
          <t xml:space="preserve">ROUND 음수 자릿수</t>
        </is>
      </c>
      <c r="E53" t="inlineStr">
        <is>
          <t xml:space="preserve">값</t>
        </is>
      </c>
    </row>
    <row r="54">
      <c r="C54">
        <f>ROUND(1.45,1)</f>
      </c>
      <c r="D54" t="inlineStr">
        <is>
          <t xml:space="preserve">ROUND 1.45</t>
        </is>
      </c>
      <c r="E54" t="inlineStr">
        <is>
          <t xml:space="preserve">값</t>
        </is>
      </c>
    </row>
    <row r="55">
      <c r="C55">
        <f>ROUNDUP(-3.141,1)</f>
      </c>
      <c r="D55" t="inlineStr">
        <is>
          <t xml:space="preserve">ROUNDUP 음수</t>
        </is>
      </c>
      <c r="E55" t="inlineStr">
        <is>
          <t xml:space="preserve">값</t>
        </is>
      </c>
    </row>
    <row r="56">
      <c r="C56">
        <f>ROUNDUP(3.0000001,0)</f>
      </c>
      <c r="D56" t="inlineStr">
        <is>
          <t xml:space="preserve">ROUNDUP 작은 초과</t>
        </is>
      </c>
      <c r="E56" t="inlineStr">
        <is>
          <t xml:space="preserve">값</t>
        </is>
      </c>
    </row>
    <row r="57">
      <c r="C57">
        <f>ROUNDDOWN(3.789,-1)</f>
      </c>
      <c r="D57" t="inlineStr">
        <is>
          <t xml:space="preserve">ROUNDDOWN 음수 자릿수</t>
        </is>
      </c>
      <c r="E57" t="inlineStr">
        <is>
          <t xml:space="preserve">값</t>
        </is>
      </c>
    </row>
    <row r="58">
      <c r="C58">
        <f>ROUNDDOWN(2.9999999999,0)</f>
      </c>
      <c r="D58" t="inlineStr">
        <is>
          <t xml:space="preserve">ROUNDDOWN</t>
        </is>
      </c>
      <c r="E58" t="inlineStr">
        <is>
          <t xml:space="preserve">값</t>
        </is>
      </c>
    </row>
    <row r="59">
      <c r="C59">
        <f>ROUND("a",1)</f>
      </c>
      <c r="D59" t="inlineStr">
        <is>
          <t xml:space="preserve">ROUND 문자 → #VALUE!</t>
        </is>
      </c>
      <c r="E59" t="inlineStr">
        <is>
          <t xml:space="preserve">값</t>
        </is>
      </c>
    </row>
    <row r="60">
      <c r="C60">
        <f>ROUND(3.14159,2.9)</f>
      </c>
      <c r="D60" t="inlineStr">
        <is>
          <t xml:space="preserve">ROUND 자릿수 소수는 버림</t>
        </is>
      </c>
      <c r="E60" t="inlineStr">
        <is>
          <t xml:space="preserve">값</t>
        </is>
      </c>
    </row>
    <row r="61">
      <c r="C61">
        <f>INT(-1.5)</f>
      </c>
      <c r="D61" t="inlineStr">
        <is>
          <t xml:space="preserve">INT 음수</t>
        </is>
      </c>
      <c r="E61" t="inlineStr">
        <is>
          <t xml:space="preserve">값</t>
        </is>
      </c>
    </row>
  </sheetData>
</worksheet>
</file>

<file path=xl/worksheets/sheet12.xml><?xml version="1.0" encoding="utf-8"?>
<worksheet xmlns="http://schemas.openxmlformats.org/spreadsheetml/2006/main">
  <cols>
    <col min="3" max="3" width="48" customWidth="1"/>
    <col min="4" max="5" width="40" customWidth="1"/>
  </cols>
  <sheetData>
    <row r="1">
      <c r="A1" t="inlineStr">
        <is>
          <t xml:space="preserve">FILTER 한 열</t>
        </is>
      </c>
      <c r="B1" t="inlineStr">
        <is>
          <t xml:space="preserve">FILTER 두 열 원본</t>
        </is>
      </c>
      <c r="D1" t="inlineStr">
        <is>
          <t xml:space="preserve">FILTER 일치 없음+대체 값</t>
        </is>
      </c>
      <c r="E1" t="inlineStr">
        <is>
          <t xml:space="preserve">FILTER 일치 없음</t>
        </is>
      </c>
      <c r="F1" t="inlineStr">
        <is>
          <t xml:space="preserve">FILTER 세 번째 인수(Excel은 if_empty)</t>
        </is>
      </c>
      <c r="G1" t="inlineStr">
        <is>
          <t xml:space="preserve">FILTER 두 조건 곱</t>
        </is>
      </c>
      <c r="H1" t="inlineStr">
        <is>
          <t xml:space="preserve">SORT 오름차순</t>
        </is>
      </c>
      <c r="I1" t="inlineStr">
        <is>
          <t xml:space="preserve">SORT 내림차순</t>
        </is>
      </c>
      <c r="J1" t="inlineStr">
        <is>
          <t xml:space="preserve">SORT 두 열 기준 열 2</t>
        </is>
      </c>
      <c r="L1" t="inlineStr">
        <is>
          <t xml:space="preserve">UNIQUE</t>
        </is>
      </c>
      <c r="M1" t="inlineStr">
        <is>
          <t xml:space="preserve">UNIQUE 한 번만 나온 값</t>
        </is>
      </c>
      <c r="N1" t="inlineStr">
        <is>
          <t xml:space="preserve">UNIQUE 빈 셀 포함</t>
        </is>
      </c>
      <c r="O1" t="inlineStr">
        <is>
          <t xml:space="preserve">SORT(UNIQUE())</t>
        </is>
      </c>
      <c r="P1" t="inlineStr">
        <is>
          <t xml:space="preserve">SEQUENCE 2x3</t>
        </is>
      </c>
      <c r="S1" t="inlineStr">
        <is>
          <t xml:space="preserve">SEQUENCE 시작·증가</t>
        </is>
      </c>
      <c r="T1" t="inlineStr">
        <is>
          <t xml:space="preserve">XLOOKUP 여러 열 반환</t>
        </is>
      </c>
      <c r="V1" t="inlineStr">
        <is>
          <t xml:space="preserve">TRANSPOSE</t>
        </is>
      </c>
    </row>
    <row r="2">
      <c r="A2">
        <f t="array" ref="A2:A4">_xlfn._xlws.FILTER(Data!F2:F7,Data!H2:H7="영업")</f>
      </c>
      <c r="B2">
        <f t="array" ref="B2:C4">_xlfn._xlws.FILTER(Data!F2:G7,Data!H2:H7="영업")</f>
      </c>
      <c r="D2">
        <f t="array" ref="D2:D2">_xlfn._xlws.FILTER(Data!F2:F7,Data!H2:H7="없음","없음")</f>
      </c>
      <c r="E2">
        <f t="array" ref="E2:E2">_xlfn._xlws.FILTER(Data!F2:F7,Data!H2:H7="없음")</f>
      </c>
      <c r="F2">
        <f t="array" ref="F2:F4">_xlfn._xlws.FILTER(Data!F2:F7,Data!H2:H7="영업",Data!G2:G7&gt;80)</f>
      </c>
      <c r="G2">
        <f t="array" ref="G2:G3">_xlfn._xlws.FILTER(Data!F2:F7,(Data!H2:H7="영업")*(Data!G2:G7&gt;80))</f>
      </c>
      <c r="H2">
        <f t="array" ref="H2:H6">_xlfn._xlws.SORT(Data!B2:B6)</f>
      </c>
      <c r="I2">
        <f t="array" ref="I2:I6">_xlfn._xlws.SORT(Data!B2:B6,1,-1)</f>
      </c>
      <c r="J2">
        <f t="array" ref="J2:K6">_xlfn._xlws.SORT(Data!A2:B6,2,-1)</f>
      </c>
      <c r="L2">
        <f t="array" ref="L2:L4">_xlfn.UNIQUE(Data!H2:H7)</f>
      </c>
      <c r="M2">
        <f t="array" ref="M2:M2">_xlfn.UNIQUE(Data!H2:H7,FALSE,TRUE)</f>
      </c>
      <c r="N2">
        <f t="array" ref="N2:N4">_xlfn.UNIQUE(Data!D2:D6)</f>
      </c>
      <c r="O2">
        <f t="array" ref="O2:O4">_xlfn._xlws.SORT(_xlfn.UNIQUE(Data!H2:H7))</f>
      </c>
      <c r="P2">
        <f t="array" ref="P2:R3">_xlfn.SEQUENCE(2,3)</f>
      </c>
      <c r="S2">
        <f t="array" ref="S2:S4">_xlfn.SEQUENCE(3,1,10,5)</f>
      </c>
      <c r="T2">
        <f t="array" ref="T2:U2">_xlfn.XLOOKUP("영업",Data!H2:H7,Data!F2:G7)</f>
      </c>
      <c r="V2">
        <f t="array" ref="V2:X2">TRANSPOSE(Data!F2:F4)</f>
      </c>
    </row>
  </sheetData>
</worksheet>
</file>